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uiy/Documents/Documents_This_Computer/Manuscript_2021/PETM_manuscript/NC_revision2/Final/"/>
    </mc:Choice>
  </mc:AlternateContent>
  <xr:revisionPtr revIDLastSave="0" documentId="13_ncr:1_{718B5053-5D48-BC42-ABBC-2A92EFE28784}" xr6:coauthVersionLast="47" xr6:coauthVersionMax="47" xr10:uidLastSave="{00000000-0000-0000-0000-000000000000}"/>
  <bookViews>
    <workbookView xWindow="33320" yWindow="860" windowWidth="25260" windowHeight="14000" activeTab="1" xr2:uid="{00000000-000D-0000-FFFF-FFFF00000000}"/>
  </bookViews>
  <sheets>
    <sheet name="XRF &amp; Bulk carbonate isotopes" sheetId="4" r:id="rId1"/>
    <sheet name="Bulk organic &amp; Hg" sheetId="6" r:id="rId2"/>
    <sheet name="alkane d13C" sheetId="7" r:id="rId3"/>
    <sheet name="Apolar biomarker" sheetId="8" r:id="rId4"/>
    <sheet name="GDGT data" sheetId="9" r:id="rId5"/>
    <sheet name="Clumped isotope" sheetId="10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0" l="1"/>
  <c r="G2" i="10" s="1"/>
  <c r="C3" i="10"/>
  <c r="G3" i="10" s="1"/>
  <c r="C4" i="10"/>
  <c r="D2" i="10"/>
  <c r="E2" i="10"/>
  <c r="F2" i="10"/>
  <c r="J2" i="10"/>
  <c r="K2" i="10"/>
  <c r="L2" i="10"/>
  <c r="M2" i="10"/>
  <c r="D3" i="10"/>
  <c r="E3" i="10"/>
  <c r="F3" i="10"/>
  <c r="J3" i="10"/>
  <c r="K3" i="10"/>
  <c r="L3" i="10"/>
  <c r="M3" i="10"/>
  <c r="D4" i="10"/>
  <c r="E4" i="10"/>
  <c r="F4" i="10"/>
  <c r="G4" i="10"/>
  <c r="H4" i="10" s="1"/>
  <c r="J4" i="10"/>
  <c r="K4" i="10"/>
  <c r="L4" i="10"/>
  <c r="M4" i="10"/>
  <c r="I3" i="10" l="1"/>
  <c r="H3" i="10"/>
  <c r="H2" i="10"/>
  <c r="I2" i="10"/>
  <c r="I4" i="10"/>
</calcChain>
</file>

<file path=xl/sharedStrings.xml><?xml version="1.0" encoding="utf-8"?>
<sst xmlns="http://schemas.openxmlformats.org/spreadsheetml/2006/main" count="1273" uniqueCount="521">
  <si>
    <t>19KZGS38</t>
  </si>
  <si>
    <t>19KZGS39</t>
  </si>
  <si>
    <t>19KZGS40</t>
  </si>
  <si>
    <t>19KZGS41</t>
  </si>
  <si>
    <t>19KZGS42</t>
  </si>
  <si>
    <t>19KZGS43</t>
  </si>
  <si>
    <t>19KZGS44</t>
  </si>
  <si>
    <t>19KZGS45</t>
  </si>
  <si>
    <t>19KZGS46</t>
  </si>
  <si>
    <t>19KZGS47</t>
  </si>
  <si>
    <t>19KZGS48</t>
  </si>
  <si>
    <t>19KZGS49</t>
  </si>
  <si>
    <t>19KZGS50</t>
  </si>
  <si>
    <t>19KZGS51</t>
  </si>
  <si>
    <t>19KZGS52</t>
  </si>
  <si>
    <t>19KZGS53</t>
  </si>
  <si>
    <t>19KZGS54</t>
  </si>
  <si>
    <t>19KZGS55</t>
  </si>
  <si>
    <t>19KZGS56</t>
  </si>
  <si>
    <t>19KZGS57</t>
  </si>
  <si>
    <t>19KZGS58</t>
  </si>
  <si>
    <t>19KZGS59</t>
  </si>
  <si>
    <t>19KZGS60</t>
  </si>
  <si>
    <t>19KZGS61</t>
  </si>
  <si>
    <t>19KZGS62</t>
  </si>
  <si>
    <t>19KZGS63</t>
  </si>
  <si>
    <t>19KZGS64</t>
  </si>
  <si>
    <t>19KZGS65</t>
  </si>
  <si>
    <t>19KZGS66</t>
  </si>
  <si>
    <t>19KZGS67</t>
  </si>
  <si>
    <t>19KZGS68</t>
  </si>
  <si>
    <t>19KZGS69</t>
  </si>
  <si>
    <t>19KZGS70</t>
  </si>
  <si>
    <t>19KZGS71</t>
  </si>
  <si>
    <t>19KZGS72</t>
  </si>
  <si>
    <t>19KZGS73</t>
  </si>
  <si>
    <t>19KZGS74</t>
  </si>
  <si>
    <t>19KZGS75</t>
  </si>
  <si>
    <t>19KZGS76</t>
  </si>
  <si>
    <t>19KZGS77</t>
  </si>
  <si>
    <t>19KZGS78</t>
  </si>
  <si>
    <t>19KZGS79</t>
  </si>
  <si>
    <t>19KZGS80</t>
  </si>
  <si>
    <t>19KZGS81</t>
  </si>
  <si>
    <t>19KZGS82</t>
  </si>
  <si>
    <t>19KZGS83</t>
  </si>
  <si>
    <t>19KZGS84</t>
  </si>
  <si>
    <t>19KZGS85</t>
  </si>
  <si>
    <t>19KZGS86</t>
  </si>
  <si>
    <t>19KZGS87</t>
  </si>
  <si>
    <t>19KZGS88</t>
  </si>
  <si>
    <t>19KZGS89</t>
  </si>
  <si>
    <t>19KZGS90</t>
  </si>
  <si>
    <t>19KZGS91</t>
  </si>
  <si>
    <t>19KZGS92</t>
  </si>
  <si>
    <t>19KZGS93</t>
  </si>
  <si>
    <t>19KZGS94</t>
  </si>
  <si>
    <t>19KZGS95</t>
  </si>
  <si>
    <t>19KZGS96</t>
  </si>
  <si>
    <t>19KZGS97</t>
  </si>
  <si>
    <t>19KZGS98</t>
  </si>
  <si>
    <t>19KZGS99</t>
  </si>
  <si>
    <t>19KZGS100</t>
  </si>
  <si>
    <t>19KZGS101</t>
  </si>
  <si>
    <t>19KZGS102</t>
  </si>
  <si>
    <t>19KZGS103</t>
  </si>
  <si>
    <t>19KZGS104</t>
  </si>
  <si>
    <t>19KZGS105</t>
  </si>
  <si>
    <t>19KZGS106</t>
  </si>
  <si>
    <t>19KZGS107</t>
  </si>
  <si>
    <t>19KZGS108</t>
  </si>
  <si>
    <t>19KZGS109</t>
  </si>
  <si>
    <t>19KZGS110</t>
  </si>
  <si>
    <t>19KZGS111</t>
  </si>
  <si>
    <t>19KZGS112</t>
  </si>
  <si>
    <t>19KZGS113</t>
  </si>
  <si>
    <t>19KZGS114</t>
  </si>
  <si>
    <t>19KZGS115</t>
  </si>
  <si>
    <t>19KZGS116</t>
  </si>
  <si>
    <t>19KZGS117</t>
  </si>
  <si>
    <t>19KZGS118</t>
  </si>
  <si>
    <t>19KZGS119</t>
  </si>
  <si>
    <t>19KZGS120</t>
  </si>
  <si>
    <t>19KZGS121</t>
  </si>
  <si>
    <t>19KZGS122</t>
  </si>
  <si>
    <t>19KZGS123</t>
  </si>
  <si>
    <t>19KZGS124</t>
  </si>
  <si>
    <t>19KZGS125</t>
  </si>
  <si>
    <t>19KZGS126</t>
  </si>
  <si>
    <t>19KZGS127</t>
  </si>
  <si>
    <t>19KZGS128</t>
  </si>
  <si>
    <t>19KZGS129</t>
  </si>
  <si>
    <t>19KZGS130</t>
  </si>
  <si>
    <t>19KZGS131</t>
  </si>
  <si>
    <t>19KZGS132</t>
  </si>
  <si>
    <t>19KZGS133</t>
  </si>
  <si>
    <t>19KZGS134</t>
  </si>
  <si>
    <t>19KZGS135</t>
  </si>
  <si>
    <t>19KZGS136</t>
  </si>
  <si>
    <t>19KZGS137</t>
  </si>
  <si>
    <t>19KZGS138</t>
  </si>
  <si>
    <t>19KZGS139</t>
  </si>
  <si>
    <t>19KZGS140</t>
  </si>
  <si>
    <t>19KZGS141</t>
  </si>
  <si>
    <t>19KZGS142</t>
  </si>
  <si>
    <t>19KZGS143</t>
  </si>
  <si>
    <t>19KZGS144</t>
  </si>
  <si>
    <t>19KZGS145</t>
  </si>
  <si>
    <t>19KZGS146</t>
  </si>
  <si>
    <t>19KZGS147</t>
  </si>
  <si>
    <t>19KZGS148</t>
  </si>
  <si>
    <t>19KZGS149</t>
  </si>
  <si>
    <t>19KZGS150</t>
  </si>
  <si>
    <t>19KZGS151</t>
  </si>
  <si>
    <t>19KZGS152</t>
  </si>
  <si>
    <t>19KZGS153</t>
  </si>
  <si>
    <t>19KZGS154</t>
  </si>
  <si>
    <t>19KZGS155</t>
  </si>
  <si>
    <t>19KZGS156</t>
  </si>
  <si>
    <t>19KZGS157</t>
  </si>
  <si>
    <t>19KZGS158</t>
  </si>
  <si>
    <t>19KZGS159</t>
  </si>
  <si>
    <t>19KZGS160</t>
  </si>
  <si>
    <t>19KZGS161</t>
  </si>
  <si>
    <t>19KZGS162</t>
  </si>
  <si>
    <t>19KZGS163</t>
  </si>
  <si>
    <t>19KZGS164</t>
  </si>
  <si>
    <t>19KZGS165</t>
  </si>
  <si>
    <t>19KZGS166</t>
  </si>
  <si>
    <t>19KZGS167</t>
  </si>
  <si>
    <t>19KZGS168</t>
  </si>
  <si>
    <t>19KZGS169</t>
  </si>
  <si>
    <t>19KZGS170</t>
  </si>
  <si>
    <t>19KZGS171</t>
  </si>
  <si>
    <t>19KZGS172</t>
  </si>
  <si>
    <t>19KZGS173</t>
  </si>
  <si>
    <t>19KZGS174</t>
  </si>
  <si>
    <t>19KZGS175</t>
  </si>
  <si>
    <t>19KZGS176</t>
  </si>
  <si>
    <t>19KZGS177</t>
  </si>
  <si>
    <t>19KZGS178</t>
  </si>
  <si>
    <t>19KZGS179</t>
  </si>
  <si>
    <t>19KZGS180</t>
  </si>
  <si>
    <t>19KZGS181</t>
  </si>
  <si>
    <t>19KZGS182</t>
  </si>
  <si>
    <t>19KZGS183</t>
  </si>
  <si>
    <t>19KZGS184</t>
  </si>
  <si>
    <t>19KZGS185</t>
  </si>
  <si>
    <t>19KZGS186</t>
  </si>
  <si>
    <t>19KZGS187</t>
  </si>
  <si>
    <t>19KZGS188</t>
  </si>
  <si>
    <t>19KZGS189</t>
  </si>
  <si>
    <t>19KZGS190</t>
  </si>
  <si>
    <t>19KZGS191</t>
  </si>
  <si>
    <t>19KZGS192</t>
  </si>
  <si>
    <t>19KZGS193</t>
  </si>
  <si>
    <t>19KZGS194</t>
  </si>
  <si>
    <t>19KZGS195</t>
  </si>
  <si>
    <t>19KZGS196</t>
  </si>
  <si>
    <t>19KZGS197</t>
  </si>
  <si>
    <t>19KZGS198</t>
  </si>
  <si>
    <t>19KZGS199</t>
  </si>
  <si>
    <t>19KZGS200</t>
  </si>
  <si>
    <t>19KZGS201</t>
  </si>
  <si>
    <t>19KZGS202</t>
  </si>
  <si>
    <t>19KZGS203</t>
  </si>
  <si>
    <t>19KZGS204</t>
  </si>
  <si>
    <t>19KZGS205</t>
  </si>
  <si>
    <t>19KZGS206</t>
  </si>
  <si>
    <t>19KZGS207</t>
  </si>
  <si>
    <t>19KZGS208</t>
  </si>
  <si>
    <t>19KZGS209</t>
  </si>
  <si>
    <t>19KZGS210</t>
  </si>
  <si>
    <t>19KZGS211</t>
  </si>
  <si>
    <t>19KZGS212</t>
  </si>
  <si>
    <t>19KZGS213</t>
  </si>
  <si>
    <t>19KZGS214</t>
  </si>
  <si>
    <t>19KZGS215</t>
  </si>
  <si>
    <t>19KZGS216</t>
  </si>
  <si>
    <t>19KZGS217</t>
  </si>
  <si>
    <t>19KZGS218</t>
  </si>
  <si>
    <t>19KZGS219</t>
  </si>
  <si>
    <t>19KZGS220</t>
  </si>
  <si>
    <t>19KZGS221</t>
  </si>
  <si>
    <t>19KZGS222</t>
  </si>
  <si>
    <t>19KZGS223</t>
  </si>
  <si>
    <t>19KZGS224</t>
  </si>
  <si>
    <t>19KZGS225</t>
  </si>
  <si>
    <t>19KZGS226</t>
  </si>
  <si>
    <t>19KZGS227</t>
  </si>
  <si>
    <t>19KZGS228</t>
  </si>
  <si>
    <t>19KZGS229</t>
  </si>
  <si>
    <t>19KZGS230</t>
  </si>
  <si>
    <t>19KZGS231</t>
  </si>
  <si>
    <t>19KZGS232</t>
  </si>
  <si>
    <t>19KZGS233</t>
  </si>
  <si>
    <t>19KZGS234</t>
  </si>
  <si>
    <t>19KZGS235</t>
  </si>
  <si>
    <t>19KZGS236</t>
  </si>
  <si>
    <t>19KZGS237</t>
  </si>
  <si>
    <t>19KZGS238</t>
  </si>
  <si>
    <t>19KZGS239</t>
  </si>
  <si>
    <t>19KZGS240</t>
  </si>
  <si>
    <t>19KZGS241</t>
  </si>
  <si>
    <t>19KZGS242</t>
  </si>
  <si>
    <t>19KZGS243</t>
  </si>
  <si>
    <t>19KZGS244</t>
  </si>
  <si>
    <t>19KZGS245</t>
  </si>
  <si>
    <t>19KZGS246</t>
  </si>
  <si>
    <t>19KZGS247</t>
  </si>
  <si>
    <t>19KZGS248</t>
  </si>
  <si>
    <t>19KZGS249</t>
  </si>
  <si>
    <t>19KZGS250</t>
  </si>
  <si>
    <t>19KZGS251</t>
  </si>
  <si>
    <t>19KZGS252</t>
  </si>
  <si>
    <t>19KZGS253</t>
  </si>
  <si>
    <t>19KZGS254</t>
  </si>
  <si>
    <t>19KZGS255</t>
  </si>
  <si>
    <t>19KZGS256</t>
  </si>
  <si>
    <t>19KZGS257</t>
  </si>
  <si>
    <t>19KZGS258</t>
  </si>
  <si>
    <t>19KZGS259</t>
  </si>
  <si>
    <t>19KZGS260</t>
  </si>
  <si>
    <t>19KZGS261</t>
  </si>
  <si>
    <t>19KZGS262</t>
  </si>
  <si>
    <t>19KZGS263</t>
  </si>
  <si>
    <t>19KZGS264</t>
  </si>
  <si>
    <t>19KZGS265</t>
  </si>
  <si>
    <t>19KZGS266</t>
  </si>
  <si>
    <t>19KZGS267</t>
  </si>
  <si>
    <t>19KZGS268</t>
  </si>
  <si>
    <t>19KZGS269</t>
  </si>
  <si>
    <t>19KZGS270</t>
  </si>
  <si>
    <t>19KZGS271</t>
  </si>
  <si>
    <t>19KZGS272</t>
  </si>
  <si>
    <t>19KZGS273</t>
  </si>
  <si>
    <t>19KZGS274</t>
  </si>
  <si>
    <t>19KZGS275</t>
  </si>
  <si>
    <t>19KZGS276</t>
  </si>
  <si>
    <t>19KZGS277</t>
  </si>
  <si>
    <t>19KZGS278</t>
  </si>
  <si>
    <t>19KZGS279</t>
  </si>
  <si>
    <t>19KZGS280</t>
  </si>
  <si>
    <t>19KZGS281</t>
  </si>
  <si>
    <t>19KZGS282</t>
  </si>
  <si>
    <t>19KZGS283</t>
  </si>
  <si>
    <t>19KZGS284</t>
  </si>
  <si>
    <t>19KZGS285</t>
  </si>
  <si>
    <t>19KZGS286</t>
  </si>
  <si>
    <t>19KZGS287</t>
  </si>
  <si>
    <t>19KZGS288</t>
  </si>
  <si>
    <t>19KZGS289</t>
  </si>
  <si>
    <t>19KZGS290</t>
  </si>
  <si>
    <t>19KZGS291</t>
  </si>
  <si>
    <t>19KZGS292</t>
  </si>
  <si>
    <t>19KZGS293</t>
  </si>
  <si>
    <t>19KZGS294</t>
  </si>
  <si>
    <t>19KZGS295</t>
  </si>
  <si>
    <t>19KZGS296</t>
  </si>
  <si>
    <t>19KZGS297</t>
  </si>
  <si>
    <t>19KZGS298</t>
  </si>
  <si>
    <t>19KZGS299</t>
  </si>
  <si>
    <t>19KZGS300</t>
  </si>
  <si>
    <t>19KZGS301</t>
  </si>
  <si>
    <t>19KZGS302</t>
  </si>
  <si>
    <t>19KZGS303</t>
  </si>
  <si>
    <t>19KZGS304</t>
  </si>
  <si>
    <t>19KZGS305</t>
  </si>
  <si>
    <t>19KZGS306</t>
  </si>
  <si>
    <t>19KZGS307</t>
  </si>
  <si>
    <t>19KZGS308</t>
  </si>
  <si>
    <t>19KZGS309</t>
  </si>
  <si>
    <t>19KZGS310</t>
  </si>
  <si>
    <t>19KZGS311</t>
  </si>
  <si>
    <t>19KZGS312</t>
  </si>
  <si>
    <t>19KZGS313</t>
  </si>
  <si>
    <t>19KZGS314</t>
  </si>
  <si>
    <t>19KZGS315</t>
  </si>
  <si>
    <t>19KZGS316</t>
  </si>
  <si>
    <t>19KZGS317</t>
  </si>
  <si>
    <t>19KZGS318</t>
  </si>
  <si>
    <t>19KZGS319</t>
  </si>
  <si>
    <t>19KZGS320</t>
  </si>
  <si>
    <t>19KZGS321</t>
  </si>
  <si>
    <t>19KZGS322</t>
  </si>
  <si>
    <t>19KZGS323</t>
  </si>
  <si>
    <t>19KZGS324</t>
  </si>
  <si>
    <t>19KZGS325</t>
  </si>
  <si>
    <t>19KZGS326</t>
  </si>
  <si>
    <t>19KZGS327</t>
  </si>
  <si>
    <t>19KZGS328</t>
  </si>
  <si>
    <t>19KZGS329</t>
  </si>
  <si>
    <t>19KZGS330</t>
  </si>
  <si>
    <t>19KZGS331</t>
  </si>
  <si>
    <t>19KZGS332</t>
  </si>
  <si>
    <t>19KZGS333</t>
  </si>
  <si>
    <t>19KZGS334</t>
  </si>
  <si>
    <t>19KZGS335</t>
  </si>
  <si>
    <t>19KZGS336</t>
  </si>
  <si>
    <t>19KZGS337</t>
  </si>
  <si>
    <t>19KZGS338</t>
  </si>
  <si>
    <t>19KZGS339</t>
  </si>
  <si>
    <t>19KZGS340</t>
  </si>
  <si>
    <t>19KZGS341</t>
  </si>
  <si>
    <t>19KZGS342</t>
  </si>
  <si>
    <t>19KZGS343</t>
  </si>
  <si>
    <t>19KZGS344</t>
  </si>
  <si>
    <t>19KZGS345</t>
  </si>
  <si>
    <t>19KZGS346</t>
  </si>
  <si>
    <t>19KZGS347</t>
  </si>
  <si>
    <t>19KZGS348</t>
  </si>
  <si>
    <t>19KZGS349</t>
  </si>
  <si>
    <t>19KZGS350</t>
  </si>
  <si>
    <t>19KZGS351</t>
  </si>
  <si>
    <t>19KZGS352</t>
  </si>
  <si>
    <t>19KZGS353</t>
  </si>
  <si>
    <t>19KZGS354</t>
  </si>
  <si>
    <t>19KZGS355</t>
  </si>
  <si>
    <t>19KZGS356</t>
  </si>
  <si>
    <t>19KZGS357</t>
  </si>
  <si>
    <t>19KZGS358</t>
  </si>
  <si>
    <t>19KZGS359</t>
  </si>
  <si>
    <t>19KZGS360</t>
  </si>
  <si>
    <t>19KZGS361</t>
  </si>
  <si>
    <t>19KZGS362</t>
  </si>
  <si>
    <t>19KZGS363</t>
  </si>
  <si>
    <t>19KZGS364</t>
  </si>
  <si>
    <t>19KZGS365</t>
  </si>
  <si>
    <t>19KZGS366</t>
  </si>
  <si>
    <t>19KZGS367</t>
  </si>
  <si>
    <t>19KZGS368</t>
  </si>
  <si>
    <t>19KZGS369</t>
  </si>
  <si>
    <t>19KZGS370</t>
  </si>
  <si>
    <t>19KZGS385</t>
  </si>
  <si>
    <t>19KZGS386</t>
  </si>
  <si>
    <t>19KZGS387</t>
  </si>
  <si>
    <t>19KZGS388</t>
  </si>
  <si>
    <t>19KZGS389</t>
  </si>
  <si>
    <t>19KZGS390</t>
  </si>
  <si>
    <t>19KZGS391</t>
  </si>
  <si>
    <t>19KZGS392</t>
  </si>
  <si>
    <t>19KZGS393</t>
  </si>
  <si>
    <t>19KZGS394</t>
  </si>
  <si>
    <t>19KZGS395</t>
  </si>
  <si>
    <t>19KZGS396</t>
  </si>
  <si>
    <t>19KZGS397</t>
  </si>
  <si>
    <t>19KZGS398</t>
  </si>
  <si>
    <t>19KZGS399</t>
  </si>
  <si>
    <t>19KZGS400</t>
  </si>
  <si>
    <t>19KZGS401</t>
  </si>
  <si>
    <t>19KZGS402</t>
  </si>
  <si>
    <t>19KZGS403</t>
  </si>
  <si>
    <t>19KZGS404</t>
  </si>
  <si>
    <t>19KZGS405</t>
  </si>
  <si>
    <t>19KZGS406</t>
  </si>
  <si>
    <t>19KZGS407</t>
  </si>
  <si>
    <t>19KZGS420</t>
  </si>
  <si>
    <t>19KZGS421</t>
  </si>
  <si>
    <t>19KZGS422</t>
  </si>
  <si>
    <t>19KZGS423</t>
  </si>
  <si>
    <t>19KZGS424</t>
  </si>
  <si>
    <t>19KZGS425</t>
  </si>
  <si>
    <t>19KZGS426</t>
  </si>
  <si>
    <t>19KZGS427</t>
  </si>
  <si>
    <t>19KZGS428</t>
  </si>
  <si>
    <t>19KZGS429</t>
  </si>
  <si>
    <t>19KZGS430</t>
  </si>
  <si>
    <t>19KZGS431</t>
  </si>
  <si>
    <t>19KZGS432</t>
  </si>
  <si>
    <t>19KZGS433</t>
  </si>
  <si>
    <t>19KZGS434</t>
  </si>
  <si>
    <t>19KZGS435</t>
  </si>
  <si>
    <t>19KZGS436</t>
  </si>
  <si>
    <t>19KZGS437</t>
  </si>
  <si>
    <t>19KZGS438</t>
  </si>
  <si>
    <t>19KZGS439</t>
  </si>
  <si>
    <t>19KZGS440</t>
  </si>
  <si>
    <t>19KZGS441</t>
  </si>
  <si>
    <t>19KZGS442</t>
  </si>
  <si>
    <t>19KZGS443</t>
  </si>
  <si>
    <t>19KZGS444</t>
  </si>
  <si>
    <t>19KZGS445</t>
  </si>
  <si>
    <t>19KZGS446</t>
  </si>
  <si>
    <t>19KZGS447</t>
  </si>
  <si>
    <t>19KZGS448</t>
  </si>
  <si>
    <t>19KZGS449</t>
  </si>
  <si>
    <t>19KZGS450</t>
  </si>
  <si>
    <t>19KZGS451</t>
  </si>
  <si>
    <t>19KZGS452</t>
  </si>
  <si>
    <t>19KZGS453</t>
  </si>
  <si>
    <t>19KZGS454</t>
  </si>
  <si>
    <t>19KZGS455</t>
  </si>
  <si>
    <t>19KZGS456</t>
  </si>
  <si>
    <t>19KZGS457</t>
  </si>
  <si>
    <t>19KZGS458</t>
  </si>
  <si>
    <t>19KZGS459</t>
  </si>
  <si>
    <t>19KZGS460</t>
  </si>
  <si>
    <t>19KZGS461</t>
  </si>
  <si>
    <t>19KZGS462</t>
  </si>
  <si>
    <t>19KZGS463</t>
  </si>
  <si>
    <t>19KZGS464</t>
  </si>
  <si>
    <t>19KZGS465</t>
  </si>
  <si>
    <t>19KZGS466</t>
  </si>
  <si>
    <t>19KZGS467</t>
  </si>
  <si>
    <t>19KZGS468</t>
  </si>
  <si>
    <t>19KZGS469</t>
  </si>
  <si>
    <t>19KZGS470</t>
  </si>
  <si>
    <t>19KZGS471</t>
  </si>
  <si>
    <t>19KZGS472</t>
  </si>
  <si>
    <t>19KZGS473</t>
  </si>
  <si>
    <t>19KZGS474</t>
  </si>
  <si>
    <t>19KZGS475</t>
  </si>
  <si>
    <t>19KZGS476</t>
  </si>
  <si>
    <t>19KZGS477</t>
  </si>
  <si>
    <t>19KZGS478</t>
  </si>
  <si>
    <t>19KZGS479</t>
  </si>
  <si>
    <t>19KZGS480</t>
  </si>
  <si>
    <t>19KZGS02</t>
  </si>
  <si>
    <t>19KZGS03</t>
  </si>
  <si>
    <t>19KZGS04</t>
  </si>
  <si>
    <t>19KZGS05</t>
  </si>
  <si>
    <t>19KZGS06</t>
  </si>
  <si>
    <t>19KZGS07</t>
  </si>
  <si>
    <t>19KZGS08</t>
  </si>
  <si>
    <t>19KZGS09</t>
  </si>
  <si>
    <t>19KZGS10</t>
  </si>
  <si>
    <t>19KZGS11</t>
  </si>
  <si>
    <t>19KZGS12</t>
  </si>
  <si>
    <t>19KZGS13</t>
  </si>
  <si>
    <t>19KZGS14</t>
  </si>
  <si>
    <t>19KZGS15</t>
  </si>
  <si>
    <t>19KZGS16</t>
  </si>
  <si>
    <t>19KZGS17</t>
  </si>
  <si>
    <t>19KZGS18</t>
  </si>
  <si>
    <t>19KZGS19</t>
  </si>
  <si>
    <t>19KZGS20</t>
  </si>
  <si>
    <t>19KZGS21</t>
  </si>
  <si>
    <t>19KZGS22</t>
  </si>
  <si>
    <t>19KZGS23</t>
  </si>
  <si>
    <t>19KZGS24</t>
  </si>
  <si>
    <t>19KZGS25</t>
  </si>
  <si>
    <t>19KZGS26</t>
  </si>
  <si>
    <t>19KZGS27</t>
  </si>
  <si>
    <t>19KZGS28</t>
  </si>
  <si>
    <t>19KZGS29</t>
  </si>
  <si>
    <t>19KZGS30</t>
  </si>
  <si>
    <t>19KZGS31</t>
  </si>
  <si>
    <t>19KZGS32</t>
  </si>
  <si>
    <t>19KZGS33</t>
  </si>
  <si>
    <t>19KZGS34</t>
  </si>
  <si>
    <t>19KZGS35</t>
  </si>
  <si>
    <t>19KZGS36</t>
  </si>
  <si>
    <t>19KZGS37</t>
  </si>
  <si>
    <t>Depth (m)</t>
    <phoneticPr fontId="1" type="noConversion"/>
  </si>
  <si>
    <t>Sample NO.</t>
    <phoneticPr fontId="1" type="noConversion"/>
  </si>
  <si>
    <t>19KZGS01</t>
  </si>
  <si>
    <t>C/N</t>
  </si>
  <si>
    <t>S</t>
  </si>
  <si>
    <t>V</t>
  </si>
  <si>
    <t>Cr</t>
  </si>
  <si>
    <t>Co</t>
  </si>
  <si>
    <t>Ni</t>
  </si>
  <si>
    <t>Cu</t>
  </si>
  <si>
    <t>Zn</t>
  </si>
  <si>
    <t>Rb</t>
  </si>
  <si>
    <t>Sr</t>
  </si>
  <si>
    <t>Zr</t>
  </si>
  <si>
    <t>Pb</t>
  </si>
  <si>
    <t>δ13Ccarb</t>
    <phoneticPr fontId="1" type="noConversion"/>
  </si>
  <si>
    <t>δ18Ocarb</t>
    <phoneticPr fontId="1" type="noConversion"/>
  </si>
  <si>
    <t>δ13Corg</t>
    <phoneticPr fontId="1" type="noConversion"/>
  </si>
  <si>
    <t>TOC%</t>
    <phoneticPr fontId="1" type="noConversion"/>
  </si>
  <si>
    <t>N%</t>
    <phoneticPr fontId="1" type="noConversion"/>
  </si>
  <si>
    <t>Hg (μg/kg, ppb)</t>
    <phoneticPr fontId="2" type="noConversion"/>
  </si>
  <si>
    <t>Comment</t>
    <phoneticPr fontId="1" type="noConversion"/>
  </si>
  <si>
    <t>below detection level</t>
    <phoneticPr fontId="1" type="noConversion"/>
  </si>
  <si>
    <t>BDL</t>
    <phoneticPr fontId="1" type="noConversion"/>
  </si>
  <si>
    <t>P2O5</t>
    <phoneticPr fontId="1" type="noConversion"/>
  </si>
  <si>
    <t>TiO2</t>
    <phoneticPr fontId="1" type="noConversion"/>
  </si>
  <si>
    <t>(MnO+MnO2)</t>
    <phoneticPr fontId="1" type="noConversion"/>
  </si>
  <si>
    <t>Al2O3</t>
    <phoneticPr fontId="1" type="noConversion"/>
  </si>
  <si>
    <t>Fe2O3</t>
    <phoneticPr fontId="1" type="noConversion"/>
  </si>
  <si>
    <t>SiO2</t>
    <phoneticPr fontId="1" type="noConversion"/>
  </si>
  <si>
    <t>CaO</t>
    <phoneticPr fontId="1" type="noConversion"/>
  </si>
  <si>
    <t>MgO</t>
    <phoneticPr fontId="1" type="noConversion"/>
  </si>
  <si>
    <t>K2O</t>
    <phoneticPr fontId="1" type="noConversion"/>
  </si>
  <si>
    <t>POE</t>
    <phoneticPr fontId="1" type="noConversion"/>
  </si>
  <si>
    <t>PETM onset</t>
    <phoneticPr fontId="1" type="noConversion"/>
  </si>
  <si>
    <t>PETM</t>
    <phoneticPr fontId="1" type="noConversion"/>
  </si>
  <si>
    <t>stdev</t>
  </si>
  <si>
    <t>C33 n-alkane</t>
  </si>
  <si>
    <t>C31 n-alkane</t>
  </si>
  <si>
    <t>C29 n-alkane</t>
  </si>
  <si>
    <t>C27 n-alkane</t>
  </si>
  <si>
    <t>C25 n-alkane</t>
  </si>
  <si>
    <t>Cren/(cren+GDGT-0)</t>
  </si>
  <si>
    <t>TM ratio 205/(191+205)</t>
  </si>
  <si>
    <t>TS ratio 205/(191+205)</t>
  </si>
  <si>
    <t>C29 bb/(bb+ab+ba)</t>
  </si>
  <si>
    <t>CPI</t>
  </si>
  <si>
    <t>Depth (m)</t>
    <phoneticPr fontId="5" type="noConversion"/>
  </si>
  <si>
    <t>19KZGS365-366</t>
    <phoneticPr fontId="1" type="noConversion"/>
  </si>
  <si>
    <t>wt.%CaCO3</t>
    <phoneticPr fontId="1" type="noConversion"/>
  </si>
  <si>
    <t>d13C s.e.</t>
  </si>
  <si>
    <t>d13Ccarb (‰VPDB)</t>
  </si>
  <si>
    <t>d18O s.e.</t>
  </si>
  <si>
    <t>d18Ocarb (‰VPDB)</t>
  </si>
  <si>
    <t xml:space="preserve"> ± 95% C.I. (°C)</t>
  </si>
  <si>
    <t>Temperature (°C)</t>
  </si>
  <si>
    <t>95% CI</t>
  </si>
  <si>
    <t>s.e. (‰)</t>
  </si>
  <si>
    <t>s.d. (‰)</t>
  </si>
  <si>
    <t>∆47 (CDES)</t>
  </si>
  <si>
    <t>n</t>
  </si>
  <si>
    <t>Sample</t>
  </si>
  <si>
    <t xml:space="preserve"> ± 1s (°C)</t>
  </si>
  <si>
    <t>Note</t>
    <phoneticPr fontId="1" type="noConversion"/>
  </si>
  <si>
    <t>Modern oyster</t>
  </si>
  <si>
    <t>Magallana sp.</t>
  </si>
  <si>
    <t>Oyster fossil (Magallana sp.) collected from 29.8 m depth at the Kuzigongsu section</t>
  </si>
  <si>
    <t>Modern oyster shell (Magallana hongkongensis) collected from northern South China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</si>
</sst>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 "/>
    <numFmt numFmtId="165" formatCode="0.0_ "/>
    <numFmt numFmtId="166" formatCode="0.0_);[Red]\(0.0\)"/>
    <numFmt numFmtId="167" formatCode="0.000_ "/>
    <numFmt numFmtId="168" formatCode="0.00000_ "/>
    <numFmt numFmtId="169" formatCode="0.00_);[Red]\(0.00\)"/>
    <numFmt numFmtId="170" formatCode="0.0000_ "/>
    <numFmt numFmtId="171" formatCode="0.0"/>
    <numFmt numFmtId="172" formatCode="0.000"/>
  </numFmts>
  <fonts count="17" x14ac:knownFonts="1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6DCE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4" fillId="0" borderId="0"/>
    <xf numFmtId="0" fontId="6" fillId="0" borderId="0"/>
  </cellStyleXfs>
  <cellXfs count="75">
    <xf numFmtId="0" fontId="0" fillId="0" borderId="0" xfId="0">
      <alignment vertical="center"/>
    </xf>
    <xf numFmtId="0" fontId="9" fillId="0" borderId="0" xfId="2" applyFont="1" applyAlignment="1">
      <alignment horizontal="center" vertical="center"/>
    </xf>
    <xf numFmtId="0" fontId="7" fillId="0" borderId="0" xfId="2" applyFont="1"/>
    <xf numFmtId="0" fontId="7" fillId="7" borderId="0" xfId="2" applyFont="1" applyFill="1"/>
    <xf numFmtId="0" fontId="10" fillId="0" borderId="0" xfId="2" applyFont="1"/>
    <xf numFmtId="2" fontId="7" fillId="0" borderId="0" xfId="2" applyNumberFormat="1" applyFont="1"/>
    <xf numFmtId="2" fontId="8" fillId="0" borderId="0" xfId="2" applyNumberFormat="1" applyFont="1"/>
    <xf numFmtId="0" fontId="10" fillId="0" borderId="0" xfId="2" applyFont="1" applyAlignment="1">
      <alignment horizontal="center" vertical="center"/>
    </xf>
    <xf numFmtId="0" fontId="9" fillId="0" borderId="0" xfId="0" applyFont="1" applyAlignment="1"/>
    <xf numFmtId="0" fontId="9" fillId="0" borderId="0" xfId="2" applyFont="1"/>
    <xf numFmtId="0" fontId="11" fillId="9" borderId="0" xfId="0" applyFont="1" applyFill="1" applyAlignment="1">
      <alignment horizontal="center"/>
    </xf>
    <xf numFmtId="2" fontId="12" fillId="0" borderId="0" xfId="0" applyNumberFormat="1" applyFont="1" applyAlignment="1"/>
    <xf numFmtId="171" fontId="12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9" fillId="0" borderId="0" xfId="1" applyFont="1"/>
    <xf numFmtId="0" fontId="14" fillId="0" borderId="0" xfId="3" applyFont="1" applyAlignment="1">
      <alignment horizontal="center" vertical="center"/>
    </xf>
    <xf numFmtId="172" fontId="13" fillId="0" borderId="0" xfId="3" applyNumberFormat="1" applyFont="1" applyAlignment="1">
      <alignment horizontal="center" vertical="center"/>
    </xf>
    <xf numFmtId="171" fontId="9" fillId="0" borderId="0" xfId="1" applyNumberFormat="1" applyFont="1"/>
    <xf numFmtId="171" fontId="13" fillId="0" borderId="0" xfId="3" applyNumberFormat="1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1" fillId="8" borderId="0" xfId="2" applyFont="1" applyFill="1" applyAlignment="1">
      <alignment horizontal="center"/>
    </xf>
    <xf numFmtId="171" fontId="12" fillId="0" borderId="0" xfId="2" applyNumberFormat="1" applyFont="1" applyAlignment="1">
      <alignment horizontal="center"/>
    </xf>
    <xf numFmtId="0" fontId="12" fillId="0" borderId="0" xfId="2" applyFont="1"/>
    <xf numFmtId="2" fontId="12" fillId="0" borderId="0" xfId="2" applyNumberFormat="1" applyFont="1"/>
    <xf numFmtId="0" fontId="9" fillId="3" borderId="0" xfId="0" applyFont="1" applyFill="1" applyBorder="1" applyAlignment="1">
      <alignment horizontal="center"/>
    </xf>
    <xf numFmtId="168" fontId="9" fillId="3" borderId="0" xfId="0" applyNumberFormat="1" applyFont="1" applyFill="1" applyBorder="1" applyAlignment="1">
      <alignment horizontal="center"/>
    </xf>
    <xf numFmtId="169" fontId="9" fillId="3" borderId="0" xfId="0" applyNumberFormat="1" applyFont="1" applyFill="1" applyBorder="1" applyAlignment="1">
      <alignment horizontal="center"/>
    </xf>
    <xf numFmtId="165" fontId="9" fillId="3" borderId="0" xfId="0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170" fontId="9" fillId="0" borderId="0" xfId="0" applyNumberFormat="1" applyFont="1" applyBorder="1" applyAlignment="1">
      <alignment horizontal="center" vertical="center"/>
    </xf>
    <xf numFmtId="169" fontId="9" fillId="0" borderId="0" xfId="0" applyNumberFormat="1" applyFont="1" applyBorder="1" applyAlignment="1">
      <alignment horizontal="center" vertical="center"/>
    </xf>
    <xf numFmtId="165" fontId="9" fillId="0" borderId="0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9" fillId="4" borderId="0" xfId="0" applyFont="1" applyFill="1" applyBorder="1" applyAlignment="1">
      <alignment horizontal="center"/>
    </xf>
    <xf numFmtId="164" fontId="9" fillId="4" borderId="0" xfId="0" applyNumberFormat="1" applyFont="1" applyFill="1" applyBorder="1" applyAlignment="1">
      <alignment horizontal="center"/>
    </xf>
    <xf numFmtId="170" fontId="9" fillId="4" borderId="0" xfId="0" applyNumberFormat="1" applyFont="1" applyFill="1" applyBorder="1" applyAlignment="1">
      <alignment horizontal="center" vertical="center"/>
    </xf>
    <xf numFmtId="169" fontId="9" fillId="4" borderId="0" xfId="0" applyNumberFormat="1" applyFont="1" applyFill="1" applyBorder="1" applyAlignment="1">
      <alignment horizontal="center" vertical="center"/>
    </xf>
    <xf numFmtId="165" fontId="9" fillId="4" borderId="0" xfId="0" applyNumberFormat="1" applyFont="1" applyFill="1" applyBorder="1" applyAlignment="1">
      <alignment horizontal="center" vertical="center"/>
    </xf>
    <xf numFmtId="166" fontId="9" fillId="4" borderId="0" xfId="0" applyNumberFormat="1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/>
    </xf>
    <xf numFmtId="164" fontId="9" fillId="6" borderId="0" xfId="0" applyNumberFormat="1" applyFont="1" applyFill="1" applyBorder="1" applyAlignment="1">
      <alignment horizontal="center"/>
    </xf>
    <xf numFmtId="170" fontId="9" fillId="6" borderId="0" xfId="0" applyNumberFormat="1" applyFont="1" applyFill="1" applyBorder="1" applyAlignment="1">
      <alignment horizontal="center" vertical="center"/>
    </xf>
    <xf numFmtId="169" fontId="9" fillId="6" borderId="0" xfId="0" applyNumberFormat="1" applyFont="1" applyFill="1" applyBorder="1" applyAlignment="1">
      <alignment horizontal="center" vertical="center"/>
    </xf>
    <xf numFmtId="165" fontId="9" fillId="6" borderId="0" xfId="0" applyNumberFormat="1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/>
    </xf>
    <xf numFmtId="164" fontId="9" fillId="5" borderId="0" xfId="0" applyNumberFormat="1" applyFont="1" applyFill="1" applyBorder="1" applyAlignment="1">
      <alignment horizontal="center"/>
    </xf>
    <xf numFmtId="170" fontId="9" fillId="5" borderId="0" xfId="0" applyNumberFormat="1" applyFont="1" applyFill="1" applyBorder="1" applyAlignment="1">
      <alignment horizontal="center" vertical="center"/>
    </xf>
    <xf numFmtId="169" fontId="9" fillId="5" borderId="0" xfId="0" applyNumberFormat="1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168" fontId="9" fillId="0" borderId="0" xfId="0" applyNumberFormat="1" applyFont="1" applyBorder="1" applyAlignment="1">
      <alignment horizontal="center" vertical="center"/>
    </xf>
    <xf numFmtId="165" fontId="9" fillId="2" borderId="0" xfId="1" applyNumberFormat="1" applyFont="1" applyFill="1" applyBorder="1" applyAlignment="1">
      <alignment horizontal="center" vertical="center"/>
    </xf>
    <xf numFmtId="165" fontId="9" fillId="0" borderId="0" xfId="1" applyNumberFormat="1" applyFont="1" applyBorder="1" applyAlignment="1">
      <alignment horizontal="center" vertical="center"/>
    </xf>
    <xf numFmtId="0" fontId="12" fillId="3" borderId="0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/>
    </xf>
    <xf numFmtId="164" fontId="9" fillId="3" borderId="0" xfId="0" applyNumberFormat="1" applyFont="1" applyFill="1" applyBorder="1" applyAlignment="1">
      <alignment horizontal="center"/>
    </xf>
    <xf numFmtId="166" fontId="9" fillId="3" borderId="0" xfId="0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center" wrapText="1"/>
    </xf>
    <xf numFmtId="169" fontId="9" fillId="0" borderId="0" xfId="0" applyNumberFormat="1" applyFont="1" applyBorder="1" applyAlignment="1">
      <alignment horizontal="center" wrapText="1"/>
    </xf>
    <xf numFmtId="166" fontId="9" fillId="0" borderId="0" xfId="0" applyNumberFormat="1" applyFont="1" applyBorder="1" applyAlignment="1">
      <alignment horizontal="center" wrapText="1"/>
    </xf>
    <xf numFmtId="165" fontId="9" fillId="0" borderId="0" xfId="0" applyNumberFormat="1" applyFont="1" applyBorder="1" applyAlignment="1">
      <alignment horizontal="center" wrapText="1"/>
    </xf>
    <xf numFmtId="164" fontId="9" fillId="0" borderId="0" xfId="0" applyNumberFormat="1" applyFont="1" applyBorder="1" applyAlignment="1">
      <alignment horizontal="center" wrapText="1"/>
    </xf>
    <xf numFmtId="166" fontId="9" fillId="0" borderId="0" xfId="0" applyNumberFormat="1" applyFont="1" applyBorder="1" applyAlignment="1">
      <alignment horizontal="center" vertical="center"/>
    </xf>
    <xf numFmtId="164" fontId="9" fillId="0" borderId="0" xfId="0" applyNumberFormat="1" applyFont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164" fontId="9" fillId="4" borderId="0" xfId="0" applyNumberFormat="1" applyFont="1" applyFill="1" applyBorder="1" applyAlignment="1">
      <alignment horizontal="center" vertical="center"/>
    </xf>
    <xf numFmtId="166" fontId="9" fillId="6" borderId="0" xfId="0" applyNumberFormat="1" applyFont="1" applyFill="1" applyBorder="1" applyAlignment="1">
      <alignment horizontal="center" vertical="center"/>
    </xf>
    <xf numFmtId="164" fontId="9" fillId="6" borderId="0" xfId="0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66" fontId="9" fillId="5" borderId="0" xfId="0" applyNumberFormat="1" applyFont="1" applyFill="1" applyBorder="1" applyAlignment="1">
      <alignment horizontal="center" vertical="center"/>
    </xf>
    <xf numFmtId="164" fontId="9" fillId="5" borderId="0" xfId="0" applyNumberFormat="1" applyFont="1" applyFill="1" applyBorder="1" applyAlignment="1">
      <alignment horizontal="center" vertical="center"/>
    </xf>
  </cellXfs>
  <cellStyles count="4">
    <cellStyle name="Normal" xfId="0" builtinId="0"/>
    <cellStyle name="常规 2" xfId="1" xr:uid="{B051EC3F-37D1-42AE-B9DC-3F9317BD52DE}"/>
    <cellStyle name="常规 3" xfId="2" xr:uid="{3AFB9FFF-D71F-43C7-95D9-6536DF89321D}"/>
    <cellStyle name="常规 4" xfId="3" xr:uid="{9998FEDF-0344-4A51-874E-2EF955008D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jsgna/Documents/WeChat%20Files/wxid_x65pcmukqphv22/FileStorage/File/2023-11/PETMshells_041722-2.xls" TargetMode="External"/><Relationship Id="rId1" Type="http://schemas.openxmlformats.org/officeDocument/2006/relationships/externalLinkPath" Target="file:///C:/Users/jsgna/Documents/WeChat%20Files/wxid_x65pcmukqphv22/FileStorage/File/2023-11/PETMshells_041722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replicate data"/>
      <sheetName val="Standards"/>
    </sheetNames>
    <sheetDataSet>
      <sheetData sheetId="0">
        <row r="2">
          <cell r="M2">
            <v>0.26</v>
          </cell>
          <cell r="O2">
            <v>0.01</v>
          </cell>
          <cell r="W2">
            <v>0.02</v>
          </cell>
        </row>
        <row r="6">
          <cell r="U6">
            <v>-2.82</v>
          </cell>
          <cell r="AO6">
            <v>0.57299999999999995</v>
          </cell>
          <cell r="AP6">
            <v>7.0000000000000001E-3</v>
          </cell>
          <cell r="AQ6">
            <v>4.0000000000000001E-3</v>
          </cell>
          <cell r="AR6">
            <v>1.1236906234088472E-2</v>
          </cell>
        </row>
        <row r="10">
          <cell r="M10">
            <v>1.26</v>
          </cell>
          <cell r="O10">
            <v>0.01</v>
          </cell>
        </row>
        <row r="14">
          <cell r="U14">
            <v>-2.4500000000000002</v>
          </cell>
          <cell r="W14">
            <v>0.02</v>
          </cell>
          <cell r="AO14">
            <v>0.57199999999999995</v>
          </cell>
          <cell r="AP14">
            <v>6.0000000000000001E-3</v>
          </cell>
          <cell r="AQ14">
            <v>4.0000000000000001E-3</v>
          </cell>
          <cell r="AR14">
            <v>1.0505771721386512E-2</v>
          </cell>
        </row>
        <row r="18">
          <cell r="M18">
            <v>-5.59</v>
          </cell>
          <cell r="U18">
            <v>-4.5</v>
          </cell>
        </row>
        <row r="22">
          <cell r="O22">
            <v>7.0000000000000007E-2</v>
          </cell>
          <cell r="W22">
            <v>0.11</v>
          </cell>
          <cell r="AO22">
            <v>0.60399999999999998</v>
          </cell>
          <cell r="AP22">
            <v>1.7000000000000001E-2</v>
          </cell>
          <cell r="AQ22">
            <v>0.01</v>
          </cell>
          <cell r="AR22">
            <v>2.7819003926298672E-2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F377-2169-4DFE-B231-155079863DF5}">
  <dimension ref="A1:Y5743"/>
  <sheetViews>
    <sheetView zoomScaleNormal="100" workbookViewId="0">
      <selection activeCell="F9" sqref="F9"/>
    </sheetView>
  </sheetViews>
  <sheetFormatPr baseColWidth="10" defaultColWidth="9" defaultRowHeight="14" x14ac:dyDescent="0.15"/>
  <cols>
    <col min="1" max="1" width="10.6640625" style="29" customWidth="1"/>
    <col min="2" max="2" width="9.6640625" style="29" customWidth="1"/>
    <col min="3" max="7" width="9.6640625" style="54" customWidth="1"/>
    <col min="8" max="8" width="13.5" style="54" bestFit="1" customWidth="1"/>
    <col min="9" max="16" width="9.6640625" style="54" customWidth="1"/>
    <col min="17" max="22" width="9.6640625" style="32" customWidth="1"/>
    <col min="23" max="24" width="9.6640625" style="56" customWidth="1"/>
    <col min="25" max="25" width="10.1640625" style="35" bestFit="1" customWidth="1"/>
    <col min="26" max="16384" width="9" style="35"/>
  </cols>
  <sheetData>
    <row r="1" spans="1:25" s="29" customFormat="1" x14ac:dyDescent="0.15">
      <c r="A1" s="25" t="s">
        <v>454</v>
      </c>
      <c r="B1" s="25" t="s">
        <v>453</v>
      </c>
      <c r="C1" s="26" t="s">
        <v>477</v>
      </c>
      <c r="D1" s="26" t="s">
        <v>457</v>
      </c>
      <c r="E1" s="26" t="s">
        <v>478</v>
      </c>
      <c r="F1" s="26" t="s">
        <v>458</v>
      </c>
      <c r="G1" s="26" t="s">
        <v>459</v>
      </c>
      <c r="H1" s="26" t="s">
        <v>479</v>
      </c>
      <c r="I1" s="26" t="s">
        <v>460</v>
      </c>
      <c r="J1" s="26" t="s">
        <v>461</v>
      </c>
      <c r="K1" s="26" t="s">
        <v>462</v>
      </c>
      <c r="L1" s="26" t="s">
        <v>463</v>
      </c>
      <c r="M1" s="26" t="s">
        <v>464</v>
      </c>
      <c r="N1" s="26" t="s">
        <v>465</v>
      </c>
      <c r="O1" s="26" t="s">
        <v>466</v>
      </c>
      <c r="P1" s="26" t="s">
        <v>467</v>
      </c>
      <c r="Q1" s="27" t="s">
        <v>480</v>
      </c>
      <c r="R1" s="27" t="s">
        <v>481</v>
      </c>
      <c r="S1" s="27" t="s">
        <v>482</v>
      </c>
      <c r="T1" s="27" t="s">
        <v>483</v>
      </c>
      <c r="U1" s="27" t="s">
        <v>484</v>
      </c>
      <c r="V1" s="27" t="s">
        <v>485</v>
      </c>
      <c r="W1" s="28" t="s">
        <v>468</v>
      </c>
      <c r="X1" s="28" t="s">
        <v>469</v>
      </c>
      <c r="Y1" s="25" t="s">
        <v>474</v>
      </c>
    </row>
    <row r="2" spans="1:25" x14ac:dyDescent="0.15">
      <c r="A2" s="29" t="s">
        <v>455</v>
      </c>
      <c r="B2" s="30">
        <v>0</v>
      </c>
      <c r="C2" s="31">
        <v>6.9619999999999987E-2</v>
      </c>
      <c r="D2" s="31">
        <v>1.9869999999999999E-2</v>
      </c>
      <c r="E2" s="31">
        <v>1.9299999999999998E-2</v>
      </c>
      <c r="F2" s="31">
        <v>1.8833333333333332E-3</v>
      </c>
      <c r="G2" s="31">
        <v>3.3666666666666667E-3</v>
      </c>
      <c r="H2" s="31">
        <v>2.5190000000000001E-2</v>
      </c>
      <c r="I2" s="31">
        <v>1.0000000000000002E-4</v>
      </c>
      <c r="J2" s="31">
        <v>5.3599999999999993E-3</v>
      </c>
      <c r="K2" s="31">
        <v>1.3890000000000003E-2</v>
      </c>
      <c r="L2" s="31">
        <v>8.2500000000000004E-3</v>
      </c>
      <c r="M2" s="31">
        <v>1.2555555555555553E-3</v>
      </c>
      <c r="N2" s="31">
        <v>1.669E-2</v>
      </c>
      <c r="O2" s="31">
        <v>3.3333333333333332E-4</v>
      </c>
      <c r="P2" s="31">
        <v>0</v>
      </c>
      <c r="Q2" s="32">
        <v>1.33212</v>
      </c>
      <c r="R2" s="32">
        <v>0.28271000000000002</v>
      </c>
      <c r="S2" s="32">
        <v>3.8146699999999996</v>
      </c>
      <c r="T2" s="32">
        <v>95.84417999999998</v>
      </c>
      <c r="U2" s="32">
        <v>0.74678000000000011</v>
      </c>
      <c r="V2" s="32">
        <v>0</v>
      </c>
      <c r="W2" s="33">
        <v>2.7818749999999999</v>
      </c>
      <c r="X2" s="33">
        <v>-4.1250869199999975</v>
      </c>
      <c r="Y2" s="34"/>
    </row>
    <row r="3" spans="1:25" x14ac:dyDescent="0.15">
      <c r="A3" s="29" t="s">
        <v>417</v>
      </c>
      <c r="B3" s="30">
        <v>1.5</v>
      </c>
      <c r="C3" s="31">
        <v>6.9370000000000015E-2</v>
      </c>
      <c r="D3" s="31">
        <v>1.0450000000000001E-2</v>
      </c>
      <c r="E3" s="31">
        <v>1.3537500000000001E-2</v>
      </c>
      <c r="F3" s="31">
        <v>2.4599999999999999E-3</v>
      </c>
      <c r="G3" s="31">
        <v>4.3E-3</v>
      </c>
      <c r="H3" s="31">
        <v>2.3599999999999999E-2</v>
      </c>
      <c r="I3" s="31">
        <v>1.0000000000000002E-4</v>
      </c>
      <c r="J3" s="31">
        <v>5.3600000000000002E-3</v>
      </c>
      <c r="K3" s="31">
        <v>1.4210000000000004E-2</v>
      </c>
      <c r="L3" s="31">
        <v>1.7800000000000003E-2</v>
      </c>
      <c r="M3" s="31">
        <v>1.31E-3</v>
      </c>
      <c r="N3" s="31">
        <v>1.5869999999999999E-2</v>
      </c>
      <c r="O3" s="31">
        <v>0</v>
      </c>
      <c r="P3" s="31">
        <v>0</v>
      </c>
      <c r="Q3" s="32">
        <v>1.1523800000000002</v>
      </c>
      <c r="R3" s="32">
        <v>0.26104000000000005</v>
      </c>
      <c r="S3" s="32">
        <v>2.9282600000000003</v>
      </c>
      <c r="T3" s="32">
        <v>94.023800000000008</v>
      </c>
      <c r="U3" s="32">
        <v>0.72652000000000005</v>
      </c>
      <c r="V3" s="32">
        <v>0</v>
      </c>
      <c r="W3" s="33">
        <v>4.5934444444444447</v>
      </c>
      <c r="X3" s="33">
        <v>-4.5326031000000029</v>
      </c>
      <c r="Y3" s="34"/>
    </row>
    <row r="4" spans="1:25" x14ac:dyDescent="0.15">
      <c r="A4" s="29" t="s">
        <v>418</v>
      </c>
      <c r="B4" s="30">
        <v>3</v>
      </c>
      <c r="C4" s="31">
        <v>9.3070000000000014E-2</v>
      </c>
      <c r="D4" s="31">
        <v>1.703E-2</v>
      </c>
      <c r="E4" s="31">
        <v>2.1299999999999999E-2</v>
      </c>
      <c r="F4" s="31">
        <v>3.7666666666666669E-3</v>
      </c>
      <c r="G4" s="31">
        <v>4.0999999999999995E-3</v>
      </c>
      <c r="H4" s="31">
        <v>2.717E-2</v>
      </c>
      <c r="I4" s="31">
        <v>1.0000000000000002E-4</v>
      </c>
      <c r="J4" s="31">
        <v>5.4999999999999997E-3</v>
      </c>
      <c r="K4" s="31">
        <v>1.3559999999999999E-2</v>
      </c>
      <c r="L4" s="31">
        <v>8.380000000000002E-3</v>
      </c>
      <c r="M4" s="31">
        <v>1.3500000000000001E-3</v>
      </c>
      <c r="N4" s="31">
        <v>1.5900000000000001E-2</v>
      </c>
      <c r="O4" s="31">
        <v>0</v>
      </c>
      <c r="P4" s="31">
        <v>0</v>
      </c>
      <c r="Q4" s="32">
        <v>1.8482200000000002</v>
      </c>
      <c r="R4" s="32">
        <v>0.50704000000000016</v>
      </c>
      <c r="S4" s="32">
        <v>6.92997</v>
      </c>
      <c r="T4" s="32">
        <v>88.255009999999999</v>
      </c>
      <c r="U4" s="32">
        <v>0.83162000000000003</v>
      </c>
      <c r="V4" s="32">
        <v>0.12740000000000001</v>
      </c>
      <c r="W4" s="33">
        <v>3.6419999999999999</v>
      </c>
      <c r="X4" s="33">
        <v>-3.8249869825000005</v>
      </c>
      <c r="Y4" s="34"/>
    </row>
    <row r="5" spans="1:25" x14ac:dyDescent="0.15">
      <c r="A5" s="29" t="s">
        <v>419</v>
      </c>
      <c r="B5" s="30">
        <v>4</v>
      </c>
      <c r="C5" s="31">
        <v>7.6179999999999998E-2</v>
      </c>
      <c r="D5" s="31">
        <v>1.4479999999999998E-2</v>
      </c>
      <c r="E5" s="31">
        <v>2.93E-2</v>
      </c>
      <c r="F5" s="31">
        <v>1.4000000000000002E-3</v>
      </c>
      <c r="G5" s="31">
        <v>1.5999999999999999E-3</v>
      </c>
      <c r="H5" s="31">
        <v>2.7400000000000001E-2</v>
      </c>
      <c r="I5" s="31">
        <v>1.0000000000000002E-4</v>
      </c>
      <c r="J5" s="31">
        <v>4.6300000000000004E-3</v>
      </c>
      <c r="K5" s="31">
        <v>1.1590000000000001E-2</v>
      </c>
      <c r="L5" s="31">
        <v>7.7099999999999998E-3</v>
      </c>
      <c r="M5" s="31">
        <v>1.82E-3</v>
      </c>
      <c r="N5" s="31">
        <v>1.7660000000000002E-2</v>
      </c>
      <c r="O5" s="31">
        <v>5.4000000000000001E-4</v>
      </c>
      <c r="P5" s="31">
        <v>0</v>
      </c>
      <c r="Q5" s="32">
        <v>2.9858000000000002</v>
      </c>
      <c r="R5" s="32">
        <v>0.42181000000000007</v>
      </c>
      <c r="S5" s="32">
        <v>13.683360000000002</v>
      </c>
      <c r="T5" s="32">
        <v>83.673940000000002</v>
      </c>
      <c r="U5" s="32">
        <v>0.89759999999999995</v>
      </c>
      <c r="V5" s="32">
        <v>0.40958000000000006</v>
      </c>
      <c r="W5" s="33">
        <v>3.0978888888888889</v>
      </c>
      <c r="X5" s="33">
        <v>-3.6633573999999989</v>
      </c>
      <c r="Y5" s="36"/>
    </row>
    <row r="6" spans="1:25" x14ac:dyDescent="0.15">
      <c r="A6" s="29" t="s">
        <v>420</v>
      </c>
      <c r="B6" s="30">
        <v>4.0413249999999996</v>
      </c>
      <c r="C6" s="31">
        <v>0.13648999999999997</v>
      </c>
      <c r="D6" s="31">
        <v>9.8000000000000014E-3</v>
      </c>
      <c r="E6" s="31">
        <v>3.73625E-2</v>
      </c>
      <c r="F6" s="31">
        <v>1.65E-3</v>
      </c>
      <c r="G6" s="31">
        <v>1.4E-3</v>
      </c>
      <c r="H6" s="31">
        <v>3.065E-2</v>
      </c>
      <c r="I6" s="31">
        <v>2.0000000000000004E-4</v>
      </c>
      <c r="J6" s="31">
        <v>4.1599999999999988E-3</v>
      </c>
      <c r="K6" s="31">
        <v>1.005E-2</v>
      </c>
      <c r="L6" s="31">
        <v>7.4400000000000004E-3</v>
      </c>
      <c r="M6" s="31">
        <v>2.3E-3</v>
      </c>
      <c r="N6" s="31">
        <v>1.9630000000000002E-2</v>
      </c>
      <c r="O6" s="31">
        <v>3.8000000000000002E-4</v>
      </c>
      <c r="P6" s="31">
        <v>0</v>
      </c>
      <c r="Q6" s="32">
        <v>4.6097400000000004</v>
      </c>
      <c r="R6" s="32">
        <v>0.59457000000000004</v>
      </c>
      <c r="S6" s="32">
        <v>20.183419999999998</v>
      </c>
      <c r="T6" s="32">
        <v>77.10193000000001</v>
      </c>
      <c r="U6" s="32">
        <v>1.15185</v>
      </c>
      <c r="V6" s="32">
        <v>0.8851699999999999</v>
      </c>
      <c r="W6" s="33">
        <v>2.8140000000000001</v>
      </c>
      <c r="X6" s="33">
        <v>-3.0928470657142846</v>
      </c>
      <c r="Y6" s="36"/>
    </row>
    <row r="7" spans="1:25" x14ac:dyDescent="0.15">
      <c r="A7" s="29" t="s">
        <v>421</v>
      </c>
      <c r="B7" s="30">
        <v>4.1283249999999994</v>
      </c>
      <c r="C7" s="31">
        <v>6.5600000000000006E-2</v>
      </c>
      <c r="D7" s="31">
        <v>1.1320000000000002E-2</v>
      </c>
      <c r="E7" s="31">
        <v>9.4359999999999986E-2</v>
      </c>
      <c r="F7" s="31">
        <v>2.5000000000000005E-3</v>
      </c>
      <c r="G7" s="31">
        <v>2.9749999999999998E-3</v>
      </c>
      <c r="H7" s="31">
        <v>2.5509999999999998E-2</v>
      </c>
      <c r="I7" s="31">
        <v>2.9999999999999997E-4</v>
      </c>
      <c r="J7" s="31">
        <v>3.5900000000000003E-3</v>
      </c>
      <c r="K7" s="31">
        <v>7.7000000000000011E-3</v>
      </c>
      <c r="L7" s="31">
        <v>7.000000000000001E-3</v>
      </c>
      <c r="M7" s="31">
        <v>4.4599999999999996E-3</v>
      </c>
      <c r="N7" s="31">
        <v>2.2920000000000003E-2</v>
      </c>
      <c r="O7" s="31">
        <v>7.79E-3</v>
      </c>
      <c r="P7" s="31">
        <v>0</v>
      </c>
      <c r="Q7" s="32">
        <v>8.6840499999999992</v>
      </c>
      <c r="R7" s="32">
        <v>1.1965699999999999</v>
      </c>
      <c r="S7" s="32">
        <v>38.810879999999997</v>
      </c>
      <c r="T7" s="32">
        <v>52.632740000000013</v>
      </c>
      <c r="U7" s="32">
        <v>1.8800099999999997</v>
      </c>
      <c r="V7" s="32">
        <v>1.9213100000000005</v>
      </c>
      <c r="W7" s="33">
        <v>2.7533333333333334</v>
      </c>
      <c r="X7" s="33">
        <v>-3.2904386000000017</v>
      </c>
      <c r="Y7" s="36"/>
    </row>
    <row r="8" spans="1:25" x14ac:dyDescent="0.15">
      <c r="A8" s="29" t="s">
        <v>422</v>
      </c>
      <c r="B8" s="30">
        <v>4.3023249999999997</v>
      </c>
      <c r="C8" s="31">
        <v>7.9039999999999999E-2</v>
      </c>
      <c r="D8" s="31">
        <v>1.0719999999999999E-2</v>
      </c>
      <c r="E8" s="31">
        <v>7.2800000000000004E-2</v>
      </c>
      <c r="F8" s="31">
        <v>1.1833333333333333E-3</v>
      </c>
      <c r="G8" s="31">
        <v>2.8666666666666667E-3</v>
      </c>
      <c r="H8" s="31">
        <v>2.7690000000000003E-2</v>
      </c>
      <c r="I8" s="31">
        <v>2.0000000000000004E-4</v>
      </c>
      <c r="J8" s="31">
        <v>3.8999999999999998E-3</v>
      </c>
      <c r="K8" s="31">
        <v>8.9500000000000014E-3</v>
      </c>
      <c r="L8" s="31">
        <v>7.2999999999999992E-3</v>
      </c>
      <c r="M8" s="31">
        <v>3.3400000000000005E-3</v>
      </c>
      <c r="N8" s="31">
        <v>1.8849999999999999E-2</v>
      </c>
      <c r="O8" s="31">
        <v>4.5000000000000005E-3</v>
      </c>
      <c r="P8" s="31">
        <v>0</v>
      </c>
      <c r="Q8" s="32">
        <v>6.8431400000000009</v>
      </c>
      <c r="R8" s="32">
        <v>0.92610000000000015</v>
      </c>
      <c r="S8" s="32">
        <v>31.039919999999995</v>
      </c>
      <c r="T8" s="32">
        <v>62.975920000000009</v>
      </c>
      <c r="U8" s="32">
        <v>1.50352</v>
      </c>
      <c r="V8" s="32">
        <v>1.3920999999999999</v>
      </c>
      <c r="W8" s="33">
        <v>2.9000000000000004</v>
      </c>
      <c r="X8" s="33">
        <v>-3.4909363449999979</v>
      </c>
      <c r="Y8" s="36"/>
    </row>
    <row r="9" spans="1:25" x14ac:dyDescent="0.15">
      <c r="A9" s="29" t="s">
        <v>423</v>
      </c>
      <c r="B9" s="30">
        <v>4.3893249999999995</v>
      </c>
      <c r="C9" s="31">
        <v>7.3139999999999997E-2</v>
      </c>
      <c r="D9" s="31">
        <v>1.1570000000000002E-2</v>
      </c>
      <c r="E9" s="31">
        <v>9.3630000000000005E-2</v>
      </c>
      <c r="F9" s="31">
        <v>2.3833333333333332E-3</v>
      </c>
      <c r="G9" s="31">
        <v>2.8600000000000001E-3</v>
      </c>
      <c r="H9" s="31">
        <v>2.3939999999999999E-2</v>
      </c>
      <c r="I9" s="31">
        <v>2.9999999999999997E-4</v>
      </c>
      <c r="J9" s="31">
        <v>3.5499999999999998E-3</v>
      </c>
      <c r="K9" s="31">
        <v>8.150000000000001E-3</v>
      </c>
      <c r="L9" s="31">
        <v>7.0699999999999999E-3</v>
      </c>
      <c r="M9" s="31">
        <v>4.2399999999999998E-3</v>
      </c>
      <c r="N9" s="31">
        <v>2.1670000000000002E-2</v>
      </c>
      <c r="O9" s="31">
        <v>5.4000000000000012E-3</v>
      </c>
      <c r="P9" s="31">
        <v>0</v>
      </c>
      <c r="Q9" s="32">
        <v>8.1432099999999998</v>
      </c>
      <c r="R9" s="32">
        <v>1.1655500000000001</v>
      </c>
      <c r="S9" s="32">
        <v>37.822510000000001</v>
      </c>
      <c r="T9" s="32">
        <v>53.354999999999997</v>
      </c>
      <c r="U9" s="32">
        <v>1.68659</v>
      </c>
      <c r="V9" s="32">
        <v>1.7391999999999999</v>
      </c>
      <c r="W9" s="33">
        <v>2.856555555555556</v>
      </c>
      <c r="X9" s="33">
        <v>-3.6619716571428604</v>
      </c>
      <c r="Y9" s="36"/>
    </row>
    <row r="10" spans="1:25" x14ac:dyDescent="0.15">
      <c r="A10" s="29" t="s">
        <v>424</v>
      </c>
      <c r="B10" s="30">
        <v>4.4763249999999992</v>
      </c>
      <c r="C10" s="31">
        <v>8.337E-2</v>
      </c>
      <c r="D10" s="31">
        <v>1.323E-2</v>
      </c>
      <c r="E10" s="31">
        <v>0.10994000000000001</v>
      </c>
      <c r="F10" s="31">
        <v>3.3000000000000004E-3</v>
      </c>
      <c r="G10" s="31">
        <v>4.2199999999999998E-3</v>
      </c>
      <c r="H10" s="31">
        <v>2.316E-2</v>
      </c>
      <c r="I10" s="31">
        <v>3.0999999999999995E-4</v>
      </c>
      <c r="J10" s="31">
        <v>3.5400000000000002E-3</v>
      </c>
      <c r="K10" s="31">
        <v>7.7700000000000009E-3</v>
      </c>
      <c r="L10" s="31">
        <v>7.2999999999999992E-3</v>
      </c>
      <c r="M10" s="31">
        <v>5.28E-3</v>
      </c>
      <c r="N10" s="31">
        <v>2.2030000000000001E-2</v>
      </c>
      <c r="O10" s="31">
        <v>6.0571428571428573E-3</v>
      </c>
      <c r="P10" s="31">
        <v>0</v>
      </c>
      <c r="Q10" s="32">
        <v>9.2053100000000008</v>
      </c>
      <c r="R10" s="32">
        <v>1.24519</v>
      </c>
      <c r="S10" s="32">
        <v>42.484439999999999</v>
      </c>
      <c r="T10" s="32">
        <v>40.36309</v>
      </c>
      <c r="U10" s="32">
        <v>2.0304799999999998</v>
      </c>
      <c r="V10" s="32">
        <v>2.0942799999999999</v>
      </c>
      <c r="W10" s="33">
        <v>2.8257142857142861</v>
      </c>
      <c r="X10" s="33">
        <v>-4.2281515449999993</v>
      </c>
      <c r="Y10" s="36"/>
    </row>
    <row r="11" spans="1:25" x14ac:dyDescent="0.15">
      <c r="A11" s="29" t="s">
        <v>425</v>
      </c>
      <c r="B11" s="30">
        <v>4.5633249999999999</v>
      </c>
      <c r="C11" s="31">
        <v>7.5870000000000007E-2</v>
      </c>
      <c r="D11" s="31">
        <v>1.376E-2</v>
      </c>
      <c r="E11" s="31">
        <v>0.1186</v>
      </c>
      <c r="F11" s="31">
        <v>2.9166666666666664E-3</v>
      </c>
      <c r="G11" s="31">
        <v>2.7400000000000002E-3</v>
      </c>
      <c r="H11" s="31">
        <v>2.3990000000000001E-2</v>
      </c>
      <c r="I11" s="31">
        <v>3.8000000000000002E-4</v>
      </c>
      <c r="J11" s="31">
        <v>3.4799999999999996E-3</v>
      </c>
      <c r="K11" s="31">
        <v>7.4400000000000004E-3</v>
      </c>
      <c r="L11" s="31">
        <v>6.8599999999999998E-3</v>
      </c>
      <c r="M11" s="31">
        <v>5.1999999999999998E-3</v>
      </c>
      <c r="N11" s="31">
        <v>2.2420000000000002E-2</v>
      </c>
      <c r="O11" s="31">
        <v>6.0999999999999995E-3</v>
      </c>
      <c r="P11" s="31">
        <v>0</v>
      </c>
      <c r="Q11" s="32">
        <v>9.3666599999999995</v>
      </c>
      <c r="R11" s="32">
        <v>1.2819099999999999</v>
      </c>
      <c r="S11" s="32">
        <v>43.325740000000003</v>
      </c>
      <c r="T11" s="32">
        <v>40.733399999999996</v>
      </c>
      <c r="U11" s="32">
        <v>2.07578</v>
      </c>
      <c r="V11" s="32">
        <v>2.1107499999999999</v>
      </c>
      <c r="W11" s="33">
        <v>4.6642222222222225</v>
      </c>
      <c r="X11" s="33">
        <v>-4.422451940000002</v>
      </c>
      <c r="Y11" s="36"/>
    </row>
    <row r="12" spans="1:25" x14ac:dyDescent="0.15">
      <c r="A12" s="29" t="s">
        <v>426</v>
      </c>
      <c r="B12" s="30">
        <v>4.6503249999999996</v>
      </c>
      <c r="C12" s="31">
        <v>9.7809771309771323E-2</v>
      </c>
      <c r="D12" s="31">
        <v>0.15780503550677855</v>
      </c>
      <c r="E12" s="31">
        <v>0.124955356068446</v>
      </c>
      <c r="F12" s="31">
        <v>2.7308362369337985E-3</v>
      </c>
      <c r="G12" s="31">
        <v>3.975384615384615E-3</v>
      </c>
      <c r="H12" s="31">
        <v>2.7453925805136562E-2</v>
      </c>
      <c r="I12" s="31">
        <v>4.347826086956523E-4</v>
      </c>
      <c r="J12" s="31">
        <v>2.4940909090909089E-3</v>
      </c>
      <c r="K12" s="31">
        <v>7.5392331932773093E-3</v>
      </c>
      <c r="L12" s="31">
        <v>8.130082987551867E-3</v>
      </c>
      <c r="M12" s="31">
        <v>5.8646596858638747E-3</v>
      </c>
      <c r="N12" s="31">
        <v>2.0115789473684201E-2</v>
      </c>
      <c r="O12" s="31">
        <v>6.4467911218169284E-3</v>
      </c>
      <c r="P12" s="31">
        <v>0</v>
      </c>
      <c r="Q12" s="32">
        <v>9.3552752786643598</v>
      </c>
      <c r="R12" s="32">
        <v>1.7932506409760309</v>
      </c>
      <c r="S12" s="32">
        <v>46.672951387533701</v>
      </c>
      <c r="T12" s="32">
        <v>40.747586561936558</v>
      </c>
      <c r="U12" s="32">
        <v>2.2045712215217628</v>
      </c>
      <c r="V12" s="32">
        <v>2.5814984257305587</v>
      </c>
      <c r="W12" s="33">
        <v>3.0456666666666665</v>
      </c>
      <c r="X12" s="33">
        <v>-3.4407916999999983</v>
      </c>
      <c r="Y12" s="36"/>
    </row>
    <row r="13" spans="1:25" x14ac:dyDescent="0.15">
      <c r="A13" s="29" t="s">
        <v>427</v>
      </c>
      <c r="B13" s="30">
        <v>4.7373249999999993</v>
      </c>
      <c r="C13" s="31">
        <v>7.4714137214137222E-2</v>
      </c>
      <c r="D13" s="31">
        <v>0.13816655907036798</v>
      </c>
      <c r="E13" s="31">
        <v>0.13061250030083513</v>
      </c>
      <c r="F13" s="31">
        <v>3.2223867595818825E-3</v>
      </c>
      <c r="G13" s="31">
        <v>4.5073504273504279E-3</v>
      </c>
      <c r="H13" s="31">
        <v>2.7958593558907462E-2</v>
      </c>
      <c r="I13" s="31">
        <v>4.347826086956523E-4</v>
      </c>
      <c r="J13" s="31">
        <v>2.3813636363636359E-3</v>
      </c>
      <c r="K13" s="31">
        <v>6.8977941176470575E-3</v>
      </c>
      <c r="L13" s="31">
        <v>8.3592531120331957E-3</v>
      </c>
      <c r="M13" s="31">
        <v>6.7764397905759168E-3</v>
      </c>
      <c r="N13" s="31">
        <v>1.932337821297429E-2</v>
      </c>
      <c r="O13" s="31">
        <v>5.2678366597843527E-3</v>
      </c>
      <c r="P13" s="31">
        <v>0</v>
      </c>
      <c r="Q13" s="32">
        <v>9.9031075729441103</v>
      </c>
      <c r="R13" s="32">
        <v>1.8830046110330256</v>
      </c>
      <c r="S13" s="32">
        <v>48.527707673481558</v>
      </c>
      <c r="T13" s="32">
        <v>37.08530809799786</v>
      </c>
      <c r="U13" s="32">
        <v>2.7142970269993518</v>
      </c>
      <c r="V13" s="32">
        <v>2.6132253665096035</v>
      </c>
      <c r="W13" s="33">
        <v>3.3115714285714288</v>
      </c>
      <c r="X13" s="33">
        <v>-3.1560369400000035</v>
      </c>
      <c r="Y13" s="36"/>
    </row>
    <row r="14" spans="1:25" x14ac:dyDescent="0.15">
      <c r="A14" s="29" t="s">
        <v>428</v>
      </c>
      <c r="B14" s="30">
        <v>4.8243249999999991</v>
      </c>
      <c r="C14" s="31">
        <v>7.2729729729729742E-2</v>
      </c>
      <c r="D14" s="31">
        <v>0.11841187863137505</v>
      </c>
      <c r="E14" s="31">
        <v>0.1498645038627229</v>
      </c>
      <c r="F14" s="31">
        <v>4.4967770034843218E-3</v>
      </c>
      <c r="G14" s="31">
        <v>5.6713846153846155E-3</v>
      </c>
      <c r="H14" s="31">
        <v>2.9607174887892378E-2</v>
      </c>
      <c r="I14" s="31">
        <v>4.7826086956521751E-4</v>
      </c>
      <c r="J14" s="31">
        <v>2.5222727272727272E-3</v>
      </c>
      <c r="K14" s="31">
        <v>6.8327205882352917E-3</v>
      </c>
      <c r="L14" s="31">
        <v>9.0685892116182595E-3</v>
      </c>
      <c r="M14" s="31">
        <v>7.8232984293193711E-3</v>
      </c>
      <c r="N14" s="31">
        <v>1.95047735618115E-2</v>
      </c>
      <c r="O14" s="31">
        <v>6.3087864189034174E-3</v>
      </c>
      <c r="P14" s="31">
        <v>0</v>
      </c>
      <c r="Q14" s="32">
        <v>10.508874788487741</v>
      </c>
      <c r="R14" s="32">
        <v>2.0782083128412401</v>
      </c>
      <c r="S14" s="32">
        <v>49.887652227785132</v>
      </c>
      <c r="T14" s="32">
        <v>32.419110798379585</v>
      </c>
      <c r="U14" s="32">
        <v>2.9585821336393066</v>
      </c>
      <c r="V14" s="32">
        <v>2.8662763881448754</v>
      </c>
      <c r="W14" s="33">
        <v>3.2596666666666669</v>
      </c>
      <c r="X14" s="33">
        <v>-3.3667468400000011</v>
      </c>
      <c r="Y14" s="36"/>
    </row>
    <row r="15" spans="1:25" x14ac:dyDescent="0.15">
      <c r="A15" s="29" t="s">
        <v>429</v>
      </c>
      <c r="B15" s="30">
        <v>4.9113249999999997</v>
      </c>
      <c r="C15" s="31">
        <v>7.5550935550935561E-2</v>
      </c>
      <c r="D15" s="31">
        <v>0.13224015493867006</v>
      </c>
      <c r="E15" s="31">
        <v>0.14454686208915951</v>
      </c>
      <c r="F15" s="31">
        <v>3.9870209059233459E-3</v>
      </c>
      <c r="G15" s="31">
        <v>4.5573626373626363E-3</v>
      </c>
      <c r="H15" s="31">
        <v>2.9225870362821035E-2</v>
      </c>
      <c r="I15" s="31">
        <v>4.4565217391304357E-4</v>
      </c>
      <c r="J15" s="31">
        <v>2.6490909090909091E-3</v>
      </c>
      <c r="K15" s="31">
        <v>6.888497899159662E-3</v>
      </c>
      <c r="L15" s="31">
        <v>8.8503319502074695E-3</v>
      </c>
      <c r="M15" s="31">
        <v>6.6976439790575899E-3</v>
      </c>
      <c r="N15" s="31">
        <v>1.8530966952264378E-2</v>
      </c>
      <c r="O15" s="31">
        <v>5.7184642611345969E-3</v>
      </c>
      <c r="P15" s="31">
        <v>0</v>
      </c>
      <c r="Q15" s="32">
        <v>9.5998626247070309</v>
      </c>
      <c r="R15" s="32">
        <v>1.9888885088663146</v>
      </c>
      <c r="S15" s="32">
        <v>45.890724802214088</v>
      </c>
      <c r="T15" s="32">
        <v>35.622791743288381</v>
      </c>
      <c r="U15" s="32">
        <v>3.2592923139938192</v>
      </c>
      <c r="V15" s="32">
        <v>2.5444942796077439</v>
      </c>
      <c r="W15" s="33">
        <v>3.2274285714285713</v>
      </c>
      <c r="X15" s="33">
        <v>-3.2380036300000015</v>
      </c>
      <c r="Y15" s="36"/>
    </row>
    <row r="16" spans="1:25" x14ac:dyDescent="0.15">
      <c r="A16" s="29" t="s">
        <v>430</v>
      </c>
      <c r="B16" s="30">
        <v>4.9983249999999995</v>
      </c>
      <c r="C16" s="31">
        <v>7.5177652449770871E-2</v>
      </c>
      <c r="D16" s="31">
        <v>0.15213072318395082</v>
      </c>
      <c r="E16" s="31">
        <v>0.12181656020248283</v>
      </c>
      <c r="F16" s="31">
        <v>2.4162711864406782E-3</v>
      </c>
      <c r="G16" s="31">
        <v>4.6571463563992643E-3</v>
      </c>
      <c r="H16" s="31">
        <v>3.0916064405113065E-2</v>
      </c>
      <c r="I16" s="31">
        <v>4.176334106728539E-4</v>
      </c>
      <c r="J16" s="31">
        <v>2.685410334346505E-3</v>
      </c>
      <c r="K16" s="31">
        <v>7.5222686879247228E-3</v>
      </c>
      <c r="L16" s="31">
        <v>1.2683051078940182E-2</v>
      </c>
      <c r="M16" s="31">
        <v>5.5093750000000004E-3</v>
      </c>
      <c r="N16" s="31">
        <v>1.9082481751824813E-2</v>
      </c>
      <c r="O16" s="31">
        <v>5.7962773418249363E-3</v>
      </c>
      <c r="P16" s="31">
        <v>0</v>
      </c>
      <c r="Q16" s="32">
        <v>8.902751001849321</v>
      </c>
      <c r="R16" s="32">
        <v>1.8104591088699897</v>
      </c>
      <c r="S16" s="32">
        <v>43.027369773122579</v>
      </c>
      <c r="T16" s="32">
        <v>39.690599624901907</v>
      </c>
      <c r="U16" s="32">
        <v>3.4773838982715137</v>
      </c>
      <c r="V16" s="32">
        <v>2.4368431869384723</v>
      </c>
      <c r="W16" s="33">
        <v>3.2514444444444446</v>
      </c>
      <c r="X16" s="33">
        <v>-3.13372648</v>
      </c>
      <c r="Y16" s="36"/>
    </row>
    <row r="17" spans="1:25" x14ac:dyDescent="0.15">
      <c r="A17" s="29" t="s">
        <v>431</v>
      </c>
      <c r="B17" s="30">
        <v>5.0853250000000001</v>
      </c>
      <c r="C17" s="31">
        <v>9.001374691575606E-2</v>
      </c>
      <c r="D17" s="31">
        <v>0.17694224235560593</v>
      </c>
      <c r="E17" s="31">
        <v>0.15332963721827167</v>
      </c>
      <c r="F17" s="31">
        <v>4.8073728813559325E-3</v>
      </c>
      <c r="G17" s="31">
        <v>5.5632578077158597E-3</v>
      </c>
      <c r="H17" s="31">
        <v>3.107385693215339E-2</v>
      </c>
      <c r="I17" s="31">
        <v>5.2204176334106744E-4</v>
      </c>
      <c r="J17" s="31">
        <v>2.5511398176291801E-3</v>
      </c>
      <c r="K17" s="31">
        <v>6.7543125980135885E-3</v>
      </c>
      <c r="L17" s="31">
        <v>9.3641218246380779E-3</v>
      </c>
      <c r="M17" s="31">
        <v>7.3346354166666681E-3</v>
      </c>
      <c r="N17" s="31">
        <v>1.8389781021897804E-2</v>
      </c>
      <c r="O17" s="31">
        <v>5.8171272603207104E-3</v>
      </c>
      <c r="P17" s="31">
        <v>0</v>
      </c>
      <c r="Q17" s="32">
        <v>10.376299563225846</v>
      </c>
      <c r="R17" s="32">
        <v>2.1521223385188009</v>
      </c>
      <c r="S17" s="32">
        <v>48.903693652614351</v>
      </c>
      <c r="T17" s="32">
        <v>33.695431606670184</v>
      </c>
      <c r="U17" s="32">
        <v>3.0693145739525427</v>
      </c>
      <c r="V17" s="32">
        <v>2.836994986826098</v>
      </c>
      <c r="W17" s="33">
        <v>3.2136666666666667</v>
      </c>
      <c r="X17" s="33">
        <v>-3.0921233999999984</v>
      </c>
      <c r="Y17" s="36"/>
    </row>
    <row r="18" spans="1:25" x14ac:dyDescent="0.15">
      <c r="A18" s="29" t="s">
        <v>432</v>
      </c>
      <c r="B18" s="30">
        <v>5.1723249999999998</v>
      </c>
      <c r="C18" s="31">
        <v>0.14243866760662668</v>
      </c>
      <c r="D18" s="31">
        <v>0.1917359650541984</v>
      </c>
      <c r="E18" s="31">
        <v>0.12114017114619742</v>
      </c>
      <c r="F18" s="31">
        <v>3.9264406779661023E-3</v>
      </c>
      <c r="G18" s="31">
        <v>3.3646050214329454E-3</v>
      </c>
      <c r="H18" s="31">
        <v>3.2133321042281213E-2</v>
      </c>
      <c r="I18" s="31">
        <v>4.2807424593967522E-4</v>
      </c>
      <c r="J18" s="31">
        <v>2.565273556231003E-3</v>
      </c>
      <c r="K18" s="31">
        <v>7.1984317825405106E-3</v>
      </c>
      <c r="L18" s="31">
        <v>1.0377041791860147E-2</v>
      </c>
      <c r="M18" s="31">
        <v>6.1028645833333334E-3</v>
      </c>
      <c r="N18" s="31">
        <v>1.9329197080291963E-2</v>
      </c>
      <c r="O18" s="31">
        <v>5.4512111907198896E-3</v>
      </c>
      <c r="P18" s="31">
        <v>0</v>
      </c>
      <c r="Q18" s="32">
        <v>9.2348333806399445</v>
      </c>
      <c r="R18" s="32">
        <v>1.9369991067340993</v>
      </c>
      <c r="S18" s="32">
        <v>44.025979713559948</v>
      </c>
      <c r="T18" s="32">
        <v>38.884284764189211</v>
      </c>
      <c r="U18" s="32">
        <v>2.900371604758949</v>
      </c>
      <c r="V18" s="32">
        <v>2.4399797209205905</v>
      </c>
      <c r="W18" s="33">
        <v>3.0897500000000004</v>
      </c>
      <c r="X18" s="33">
        <v>-3.4606232200000022</v>
      </c>
      <c r="Y18" s="36"/>
    </row>
    <row r="19" spans="1:25" x14ac:dyDescent="0.15">
      <c r="A19" s="29" t="s">
        <v>433</v>
      </c>
      <c r="B19" s="30">
        <v>5.2593249999999996</v>
      </c>
      <c r="C19" s="31">
        <v>7.8643461402890358E-2</v>
      </c>
      <c r="D19" s="31">
        <v>0.15084937712344282</v>
      </c>
      <c r="E19" s="31">
        <v>9.2343738700735215E-2</v>
      </c>
      <c r="F19" s="31">
        <v>2.2551864406779665E-3</v>
      </c>
      <c r="G19" s="31">
        <v>1.3491733006736066E-3</v>
      </c>
      <c r="H19" s="31">
        <v>3.3643620943952783E-2</v>
      </c>
      <c r="I19" s="31">
        <v>3.1322505800464035E-4</v>
      </c>
      <c r="J19" s="31">
        <v>2.6783434650455929E-3</v>
      </c>
      <c r="K19" s="31">
        <v>8.0311552535284846E-3</v>
      </c>
      <c r="L19" s="31">
        <v>1.1142119639442775E-2</v>
      </c>
      <c r="M19" s="31">
        <v>4.5015625000000004E-3</v>
      </c>
      <c r="N19" s="31">
        <v>1.6776642335766416E-2</v>
      </c>
      <c r="O19" s="31">
        <v>3.9406345957011257E-3</v>
      </c>
      <c r="P19" s="31">
        <v>0</v>
      </c>
      <c r="Q19" s="32">
        <v>7.6887854927284476</v>
      </c>
      <c r="R19" s="32">
        <v>1.4479720132094076</v>
      </c>
      <c r="S19" s="32">
        <v>37.355693555012849</v>
      </c>
      <c r="T19" s="32">
        <v>51.07139087793351</v>
      </c>
      <c r="U19" s="32">
        <v>2.8609106970725331</v>
      </c>
      <c r="V19" s="32">
        <v>2.0637651854437933</v>
      </c>
      <c r="W19" s="33">
        <v>1.469857142857143</v>
      </c>
      <c r="X19" s="33">
        <v>-0.55589833000000155</v>
      </c>
      <c r="Y19" s="36"/>
    </row>
    <row r="20" spans="1:25" x14ac:dyDescent="0.15">
      <c r="A20" s="29" t="s">
        <v>434</v>
      </c>
      <c r="B20" s="30">
        <v>5.3463249999999993</v>
      </c>
      <c r="C20" s="31">
        <v>6.3102044413112415E-2</v>
      </c>
      <c r="D20" s="31">
        <v>0.18602815078466278</v>
      </c>
      <c r="E20" s="31">
        <v>0.14718669398577799</v>
      </c>
      <c r="F20" s="31">
        <v>3.1641646489104116E-3</v>
      </c>
      <c r="G20" s="31">
        <v>3.8176607470912431E-3</v>
      </c>
      <c r="H20" s="31">
        <v>2.8921116027531949E-2</v>
      </c>
      <c r="I20" s="31">
        <v>5.2204176334106744E-4</v>
      </c>
      <c r="J20" s="31">
        <v>2.4310030395136781E-3</v>
      </c>
      <c r="K20" s="31">
        <v>6.5230005227391499E-3</v>
      </c>
      <c r="L20" s="31">
        <v>1.5581726304288446E-2</v>
      </c>
      <c r="M20" s="31">
        <v>7.4018229166666677E-3</v>
      </c>
      <c r="N20" s="31">
        <v>1.6700729927007295E-2</v>
      </c>
      <c r="O20" s="31">
        <v>8.8195155237120442E-3</v>
      </c>
      <c r="P20" s="31">
        <v>0</v>
      </c>
      <c r="Q20" s="32">
        <v>11.07204064763288</v>
      </c>
      <c r="R20" s="32">
        <v>2.145499537637622</v>
      </c>
      <c r="S20" s="32">
        <v>49.743816402517908</v>
      </c>
      <c r="T20" s="32">
        <v>22.77700701867953</v>
      </c>
      <c r="U20" s="32">
        <v>3.5049380570704201</v>
      </c>
      <c r="V20" s="32">
        <v>3.991281877840025</v>
      </c>
      <c r="W20" s="33">
        <v>3.0371428571428569</v>
      </c>
      <c r="X20" s="33">
        <v>-2.797560660000002</v>
      </c>
      <c r="Y20" s="36"/>
    </row>
    <row r="21" spans="1:25" x14ac:dyDescent="0.15">
      <c r="A21" s="29" t="s">
        <v>435</v>
      </c>
      <c r="B21" s="30">
        <v>5.433325</v>
      </c>
      <c r="C21" s="31">
        <v>7.7050405357772273E-2</v>
      </c>
      <c r="D21" s="31">
        <v>0.14059860863937879</v>
      </c>
      <c r="E21" s="31">
        <v>8.9283355429673403E-2</v>
      </c>
      <c r="F21" s="31">
        <v>1.9632203389830512E-3</v>
      </c>
      <c r="G21" s="31">
        <v>3.6144519289650944E-3</v>
      </c>
      <c r="H21" s="31">
        <v>2.9586098820058981E-2</v>
      </c>
      <c r="I21" s="31">
        <v>3.1322505800464035E-4</v>
      </c>
      <c r="J21" s="31">
        <v>2.7207446808510641E-3</v>
      </c>
      <c r="K21" s="31">
        <v>8.2069524307370589E-3</v>
      </c>
      <c r="L21" s="31">
        <v>1.0495574979513794E-2</v>
      </c>
      <c r="M21" s="31">
        <v>4.400781250000001E-3</v>
      </c>
      <c r="N21" s="31">
        <v>1.664379562043795E-2</v>
      </c>
      <c r="O21" s="31">
        <v>3.8065994053711558E-3</v>
      </c>
      <c r="P21" s="31">
        <v>0</v>
      </c>
      <c r="Q21" s="32">
        <v>8.1326272313123731</v>
      </c>
      <c r="R21" s="32">
        <v>1.4087718380332588</v>
      </c>
      <c r="S21" s="32">
        <v>39.222423432207371</v>
      </c>
      <c r="T21" s="32">
        <v>43.969324601735394</v>
      </c>
      <c r="U21" s="32">
        <v>2.552255060675285</v>
      </c>
      <c r="V21" s="32">
        <v>2.5210633629177863</v>
      </c>
      <c r="W21" s="33">
        <v>3.1061111111111113</v>
      </c>
      <c r="X21" s="33">
        <v>-2.6385851600000017</v>
      </c>
      <c r="Y21" s="36"/>
    </row>
    <row r="22" spans="1:25" x14ac:dyDescent="0.15">
      <c r="A22" s="29" t="s">
        <v>436</v>
      </c>
      <c r="B22" s="30">
        <v>5.5203249999999997</v>
      </c>
      <c r="C22" s="31">
        <v>7.1140289037715881E-2</v>
      </c>
      <c r="D22" s="31">
        <v>0.15795502345898724</v>
      </c>
      <c r="E22" s="31">
        <v>0.10397541279980715</v>
      </c>
      <c r="F22" s="31">
        <v>2.6344067796610169E-3</v>
      </c>
      <c r="G22" s="31">
        <v>3.1409325518327348E-3</v>
      </c>
      <c r="H22" s="31">
        <v>2.9788974926253674E-2</v>
      </c>
      <c r="I22" s="31">
        <v>3.9675174013921119E-4</v>
      </c>
      <c r="J22" s="31">
        <v>2.4380699088145897E-3</v>
      </c>
      <c r="K22" s="31">
        <v>7.4297438578149466E-3</v>
      </c>
      <c r="L22" s="31">
        <v>9.9783392515706108E-3</v>
      </c>
      <c r="M22" s="31">
        <v>5.3190104166666672E-3</v>
      </c>
      <c r="N22" s="31">
        <v>1.8038686131386854E-2</v>
      </c>
      <c r="O22" s="31">
        <v>5.4150216893307981E-3</v>
      </c>
      <c r="P22" s="31">
        <v>0</v>
      </c>
      <c r="Q22" s="32">
        <v>9.1716707091181817</v>
      </c>
      <c r="R22" s="32">
        <v>1.6767989456316483</v>
      </c>
      <c r="S22" s="32">
        <v>43.451034368578675</v>
      </c>
      <c r="T22" s="32">
        <v>40.437684766849493</v>
      </c>
      <c r="U22" s="32">
        <v>2.8259774200789636</v>
      </c>
      <c r="V22" s="32">
        <v>3.0563722267983868</v>
      </c>
      <c r="W22" s="33">
        <v>3.2818888888888886</v>
      </c>
      <c r="X22" s="33">
        <v>-2.474759559999999</v>
      </c>
      <c r="Y22" s="36"/>
    </row>
    <row r="23" spans="1:25" x14ac:dyDescent="0.15">
      <c r="A23" s="29" t="s">
        <v>437</v>
      </c>
      <c r="B23" s="30">
        <v>5.6073250000000003</v>
      </c>
      <c r="C23" s="31">
        <v>7.4726769295068288E-2</v>
      </c>
      <c r="D23" s="31">
        <v>0.14632070910556003</v>
      </c>
      <c r="E23" s="31">
        <v>0.12657425418880264</v>
      </c>
      <c r="F23" s="31">
        <v>3.1680000000000002E-3</v>
      </c>
      <c r="G23" s="31">
        <v>3.3361038961038955E-3</v>
      </c>
      <c r="H23" s="31">
        <v>2.9297350778107356E-2</v>
      </c>
      <c r="I23" s="31">
        <v>4.3269230769230781E-4</v>
      </c>
      <c r="J23" s="31">
        <v>2.3993308550185866E-3</v>
      </c>
      <c r="K23" s="31">
        <v>6.7978603904787363E-3</v>
      </c>
      <c r="L23" s="31">
        <v>8.5796509211802183E-3</v>
      </c>
      <c r="M23" s="31">
        <v>5.9348242811501604E-3</v>
      </c>
      <c r="N23" s="31">
        <v>1.7422669404517453E-2</v>
      </c>
      <c r="O23" s="31">
        <v>5.7129367327667623E-3</v>
      </c>
      <c r="P23" s="31">
        <v>0</v>
      </c>
      <c r="Q23" s="32">
        <v>9.6710410515732352</v>
      </c>
      <c r="R23" s="32">
        <v>1.86135615436124</v>
      </c>
      <c r="S23" s="32">
        <v>46.636244120683536</v>
      </c>
      <c r="T23" s="32">
        <v>43.181317093477652</v>
      </c>
      <c r="U23" s="32">
        <v>2.1818124762267019</v>
      </c>
      <c r="V23" s="32">
        <v>2.8977685551321368</v>
      </c>
      <c r="W23" s="33">
        <v>3.1193333333333331</v>
      </c>
      <c r="X23" s="33">
        <v>-3.0259464799999982</v>
      </c>
      <c r="Y23" s="36"/>
    </row>
    <row r="24" spans="1:25" x14ac:dyDescent="0.15">
      <c r="A24" s="29" t="s">
        <v>438</v>
      </c>
      <c r="B24" s="30">
        <v>5.6943250000000001</v>
      </c>
      <c r="C24" s="31">
        <v>8.3330140707718034E-2</v>
      </c>
      <c r="D24" s="31">
        <v>0.16430620467365031</v>
      </c>
      <c r="E24" s="31">
        <v>0.14775643645279934</v>
      </c>
      <c r="F24" s="31">
        <v>3.1635443037974684E-3</v>
      </c>
      <c r="G24" s="31">
        <v>5.0090909090909092E-3</v>
      </c>
      <c r="H24" s="31">
        <v>2.844782820689936E-2</v>
      </c>
      <c r="I24" s="31">
        <v>5.4086538461538486E-4</v>
      </c>
      <c r="J24" s="31">
        <v>2.5030483271375461E-3</v>
      </c>
      <c r="K24" s="31">
        <v>6.8641347953998389E-3</v>
      </c>
      <c r="L24" s="31">
        <v>8.1752597312647196E-3</v>
      </c>
      <c r="M24" s="31">
        <v>6.5193145512634351E-3</v>
      </c>
      <c r="N24" s="31">
        <v>1.8777659137576997E-2</v>
      </c>
      <c r="O24" s="31">
        <v>6.7682719546742209E-3</v>
      </c>
      <c r="P24" s="31">
        <v>0</v>
      </c>
      <c r="Q24" s="32">
        <v>9.9904158632600968</v>
      </c>
      <c r="R24" s="32">
        <v>2.238471506259915</v>
      </c>
      <c r="S24" s="32">
        <v>49.067919027007576</v>
      </c>
      <c r="T24" s="32">
        <v>36.643508668269163</v>
      </c>
      <c r="U24" s="32">
        <v>2.4691776816279951</v>
      </c>
      <c r="V24" s="32">
        <v>3.0653499377747369</v>
      </c>
      <c r="W24" s="33">
        <v>3.124857142857143</v>
      </c>
      <c r="X24" s="33">
        <v>-3.4749579600000047</v>
      </c>
      <c r="Y24" s="36"/>
    </row>
    <row r="25" spans="1:25" x14ac:dyDescent="0.15">
      <c r="A25" s="29" t="s">
        <v>439</v>
      </c>
      <c r="B25" s="30">
        <v>5.7640930232558141</v>
      </c>
      <c r="C25" s="31">
        <v>6.4160000000000009E-2</v>
      </c>
      <c r="D25" s="31">
        <v>7.1000000000000004E-3</v>
      </c>
      <c r="E25" s="31">
        <v>5.8940000000000006E-2</v>
      </c>
      <c r="F25" s="31">
        <v>1.8833333333333332E-3</v>
      </c>
      <c r="G25" s="31">
        <v>3.7199999999999998E-3</v>
      </c>
      <c r="H25" s="31">
        <v>2.1860000000000001E-2</v>
      </c>
      <c r="I25" s="31">
        <v>2.0000000000000004E-4</v>
      </c>
      <c r="J25" s="31">
        <v>4.0100000000000005E-3</v>
      </c>
      <c r="K25" s="31">
        <v>8.9799999999999984E-3</v>
      </c>
      <c r="L25" s="31">
        <v>7.62E-3</v>
      </c>
      <c r="M25" s="31">
        <v>3.1700000000000001E-3</v>
      </c>
      <c r="N25" s="31">
        <v>2.1520000000000001E-2</v>
      </c>
      <c r="O25" s="31">
        <v>2.5000000000000001E-3</v>
      </c>
      <c r="P25" s="31">
        <v>0</v>
      </c>
      <c r="Q25" s="32">
        <v>6.4276499999999999</v>
      </c>
      <c r="R25" s="32">
        <v>0.83570999999999995</v>
      </c>
      <c r="S25" s="32">
        <v>28.678660000000001</v>
      </c>
      <c r="T25" s="32">
        <v>67.248369999999994</v>
      </c>
      <c r="U25" s="32">
        <v>1.1800899999999999</v>
      </c>
      <c r="V25" s="32">
        <v>1.8818600000000001</v>
      </c>
      <c r="W25" s="33">
        <v>3.0365555555555552</v>
      </c>
      <c r="X25" s="33">
        <v>-3.5438024350000035</v>
      </c>
      <c r="Y25" s="36"/>
    </row>
    <row r="26" spans="1:25" x14ac:dyDescent="0.15">
      <c r="A26" s="29" t="s">
        <v>440</v>
      </c>
      <c r="B26" s="30">
        <v>6.0091699463327375</v>
      </c>
      <c r="C26" s="31">
        <v>6.4020000000000007E-2</v>
      </c>
      <c r="D26" s="31">
        <v>1.6539999999999999E-2</v>
      </c>
      <c r="E26" s="31">
        <v>7.2969999999999993E-2</v>
      </c>
      <c r="F26" s="31">
        <v>2.3999999999999998E-3</v>
      </c>
      <c r="G26" s="31">
        <v>3.6666666666666666E-3</v>
      </c>
      <c r="H26" s="31">
        <v>2.248E-2</v>
      </c>
      <c r="I26" s="31">
        <v>2.833333333333333E-4</v>
      </c>
      <c r="J26" s="31">
        <v>3.7500000000000007E-3</v>
      </c>
      <c r="K26" s="31">
        <v>8.7499999999999991E-3</v>
      </c>
      <c r="L26" s="31">
        <v>1.0319999999999999E-2</v>
      </c>
      <c r="M26" s="31">
        <v>3.3E-3</v>
      </c>
      <c r="N26" s="31">
        <v>2.5340000000000001E-2</v>
      </c>
      <c r="O26" s="31">
        <v>4.6999999999999993E-3</v>
      </c>
      <c r="P26" s="31">
        <v>0</v>
      </c>
      <c r="Q26" s="32">
        <v>7.0255500000000008</v>
      </c>
      <c r="R26" s="32">
        <v>0.95274999999999976</v>
      </c>
      <c r="S26" s="32">
        <v>31.56719</v>
      </c>
      <c r="T26" s="32">
        <v>61.658979999999985</v>
      </c>
      <c r="U26" s="32">
        <v>1.2343999999999999</v>
      </c>
      <c r="V26" s="32">
        <v>2.0968200000000001</v>
      </c>
      <c r="W26" s="33">
        <v>2.9906666666666668</v>
      </c>
      <c r="X26" s="33">
        <v>-3.4696305485714305</v>
      </c>
      <c r="Y26" s="36"/>
    </row>
    <row r="27" spans="1:25" x14ac:dyDescent="0.15">
      <c r="A27" s="29" t="s">
        <v>441</v>
      </c>
      <c r="B27" s="30">
        <v>6.25424686940966</v>
      </c>
      <c r="C27" s="31">
        <v>6.6860000000000003E-2</v>
      </c>
      <c r="D27" s="31">
        <v>8.3000000000000001E-3</v>
      </c>
      <c r="E27" s="31">
        <v>8.1640000000000004E-2</v>
      </c>
      <c r="F27" s="31">
        <v>2.1250000000000002E-3</v>
      </c>
      <c r="G27" s="31">
        <v>2.9400000000000003E-3</v>
      </c>
      <c r="H27" s="31">
        <v>2.5309999999999999E-2</v>
      </c>
      <c r="I27" s="31">
        <v>2.9999999999999997E-4</v>
      </c>
      <c r="J27" s="31">
        <v>3.9200000000000007E-3</v>
      </c>
      <c r="K27" s="31">
        <v>8.5200000000000015E-3</v>
      </c>
      <c r="L27" s="31">
        <v>8.2900000000000005E-3</v>
      </c>
      <c r="M27" s="31">
        <v>3.6600000000000001E-3</v>
      </c>
      <c r="N27" s="31">
        <v>2.7820000000000001E-2</v>
      </c>
      <c r="O27" s="31">
        <v>4.6375000000000001E-3</v>
      </c>
      <c r="P27" s="31">
        <v>0</v>
      </c>
      <c r="Q27" s="32">
        <v>7.48048</v>
      </c>
      <c r="R27" s="32">
        <v>1.03009</v>
      </c>
      <c r="S27" s="32">
        <v>32.925339999999998</v>
      </c>
      <c r="T27" s="32">
        <v>63.689280000000011</v>
      </c>
      <c r="U27" s="32">
        <v>1.3694800000000003</v>
      </c>
      <c r="V27" s="32">
        <v>2.1673</v>
      </c>
      <c r="W27" s="33">
        <v>2.9645555555555552</v>
      </c>
      <c r="X27" s="33">
        <v>-3.5999827600000032</v>
      </c>
      <c r="Y27" s="36"/>
    </row>
    <row r="28" spans="1:25" x14ac:dyDescent="0.15">
      <c r="A28" s="29" t="s">
        <v>442</v>
      </c>
      <c r="B28" s="30">
        <v>6.4993237924865834</v>
      </c>
      <c r="C28" s="31">
        <v>7.1319999999999995E-2</v>
      </c>
      <c r="D28" s="31">
        <v>9.92E-3</v>
      </c>
      <c r="E28" s="31">
        <v>6.6839999999999997E-2</v>
      </c>
      <c r="F28" s="31">
        <v>2.3285714285714285E-3</v>
      </c>
      <c r="G28" s="31">
        <v>2.3124999999999999E-3</v>
      </c>
      <c r="H28" s="31">
        <v>2.6780000000000005E-2</v>
      </c>
      <c r="I28" s="31">
        <v>2.0000000000000001E-4</v>
      </c>
      <c r="J28" s="31">
        <v>4.1700000000000001E-3</v>
      </c>
      <c r="K28" s="31">
        <v>9.1900000000000003E-3</v>
      </c>
      <c r="L28" s="31">
        <v>8.6300000000000005E-3</v>
      </c>
      <c r="M28" s="31">
        <v>3.2599999999999999E-3</v>
      </c>
      <c r="N28" s="31">
        <v>2.5880000000000004E-2</v>
      </c>
      <c r="O28" s="31">
        <v>4.5799999999999999E-3</v>
      </c>
      <c r="P28" s="31">
        <v>0</v>
      </c>
      <c r="Q28" s="32">
        <v>6.4865499999999994</v>
      </c>
      <c r="R28" s="32">
        <v>0.90895999999999988</v>
      </c>
      <c r="S28" s="32">
        <v>28.260829999999999</v>
      </c>
      <c r="T28" s="32">
        <v>66.44529</v>
      </c>
      <c r="U28" s="32">
        <v>1.19384</v>
      </c>
      <c r="V28" s="32">
        <v>1.8532700000000002</v>
      </c>
      <c r="W28" s="33">
        <v>3.0346666666666668</v>
      </c>
      <c r="X28" s="33">
        <v>-3.0925699171428569</v>
      </c>
      <c r="Y28" s="36"/>
    </row>
    <row r="29" spans="1:25" x14ac:dyDescent="0.15">
      <c r="A29" s="29" t="s">
        <v>443</v>
      </c>
      <c r="B29" s="30">
        <v>6.7444007155635068</v>
      </c>
      <c r="C29" s="31">
        <v>7.705999999999999E-2</v>
      </c>
      <c r="D29" s="31">
        <v>1.6590000000000001E-2</v>
      </c>
      <c r="E29" s="31">
        <v>7.51E-2</v>
      </c>
      <c r="F29" s="31">
        <v>1.7000000000000001E-3</v>
      </c>
      <c r="G29" s="31">
        <v>2.66E-3</v>
      </c>
      <c r="H29" s="31">
        <v>2.5769999999999998E-2</v>
      </c>
      <c r="I29" s="31">
        <v>2.9999999999999997E-4</v>
      </c>
      <c r="J29" s="31">
        <v>3.8899999999999998E-3</v>
      </c>
      <c r="K29" s="31">
        <v>9.130000000000001E-3</v>
      </c>
      <c r="L29" s="31">
        <v>8.3999999999999995E-3</v>
      </c>
      <c r="M29" s="31">
        <v>3.3800000000000002E-3</v>
      </c>
      <c r="N29" s="31">
        <v>2.4769999999999997E-2</v>
      </c>
      <c r="O29" s="31">
        <v>2.82E-3</v>
      </c>
      <c r="P29" s="31">
        <v>0</v>
      </c>
      <c r="Q29" s="32">
        <v>7.1298499999999994</v>
      </c>
      <c r="R29" s="32">
        <v>1.01549</v>
      </c>
      <c r="S29" s="32">
        <v>31.074599999999997</v>
      </c>
      <c r="T29" s="32">
        <v>63.475659999999991</v>
      </c>
      <c r="U29" s="32">
        <v>1.38066</v>
      </c>
      <c r="V29" s="32">
        <v>1.9873000000000001</v>
      </c>
      <c r="W29" s="33">
        <v>2.9262222222222221</v>
      </c>
      <c r="X29" s="33">
        <v>-3.3994041800000048</v>
      </c>
      <c r="Y29" s="36"/>
    </row>
    <row r="30" spans="1:25" x14ac:dyDescent="0.15">
      <c r="A30" s="29" t="s">
        <v>444</v>
      </c>
      <c r="B30" s="30">
        <v>6.9894776386404294</v>
      </c>
      <c r="C30" s="31">
        <v>6.3430000000000014E-2</v>
      </c>
      <c r="D30" s="31">
        <v>9.92E-3</v>
      </c>
      <c r="E30" s="31">
        <v>0.10242999999999999</v>
      </c>
      <c r="F30" s="31">
        <v>1.8999999999999998E-3</v>
      </c>
      <c r="G30" s="31">
        <v>2.8125000000000003E-3</v>
      </c>
      <c r="H30" s="31">
        <v>2.3759999999999996E-2</v>
      </c>
      <c r="I30" s="31">
        <v>2.9999999999999997E-4</v>
      </c>
      <c r="J30" s="31">
        <v>3.6800000000000001E-3</v>
      </c>
      <c r="K30" s="31">
        <v>8.0300000000000007E-3</v>
      </c>
      <c r="L30" s="31">
        <v>8.7600000000000004E-3</v>
      </c>
      <c r="M30" s="31">
        <v>4.7000000000000002E-3</v>
      </c>
      <c r="N30" s="31">
        <v>2.8450000000000003E-2</v>
      </c>
      <c r="O30" s="31">
        <v>6.2111111111111108E-3</v>
      </c>
      <c r="P30" s="31">
        <v>0</v>
      </c>
      <c r="Q30" s="32">
        <v>8.9126499999999993</v>
      </c>
      <c r="R30" s="32">
        <v>1.1443499999999998</v>
      </c>
      <c r="S30" s="32">
        <v>38.901539999999997</v>
      </c>
      <c r="T30" s="32">
        <v>45.730400000000003</v>
      </c>
      <c r="U30" s="32">
        <v>1.5326499999999998</v>
      </c>
      <c r="V30" s="32">
        <v>2.7170199999999998</v>
      </c>
      <c r="W30" s="33">
        <v>2.7537500000000001</v>
      </c>
      <c r="X30" s="33">
        <v>-3.8386076800000026</v>
      </c>
      <c r="Y30" s="36"/>
    </row>
    <row r="31" spans="1:25" x14ac:dyDescent="0.15">
      <c r="A31" s="29" t="s">
        <v>445</v>
      </c>
      <c r="B31" s="30">
        <v>7.2345545617173519</v>
      </c>
      <c r="C31" s="31">
        <v>6.7240000000000008E-2</v>
      </c>
      <c r="D31" s="31">
        <v>8.8899999999999986E-3</v>
      </c>
      <c r="E31" s="31">
        <v>7.0930000000000007E-2</v>
      </c>
      <c r="F31" s="31">
        <v>2.1333333333333334E-3</v>
      </c>
      <c r="G31" s="31">
        <v>3.3E-3</v>
      </c>
      <c r="H31" s="31">
        <v>2.8479999999999998E-2</v>
      </c>
      <c r="I31" s="31">
        <v>2.9999999999999997E-4</v>
      </c>
      <c r="J31" s="31">
        <v>3.96E-3</v>
      </c>
      <c r="K31" s="31">
        <v>9.7299999999999991E-3</v>
      </c>
      <c r="L31" s="31">
        <v>8.5299999999999994E-3</v>
      </c>
      <c r="M31" s="31">
        <v>3.4600000000000004E-3</v>
      </c>
      <c r="N31" s="31">
        <v>2.9170000000000001E-2</v>
      </c>
      <c r="O31" s="31">
        <v>4.7555555555555563E-3</v>
      </c>
      <c r="P31" s="31">
        <v>0</v>
      </c>
      <c r="Q31" s="32">
        <v>6.759780000000001</v>
      </c>
      <c r="R31" s="32">
        <v>0.91096999999999984</v>
      </c>
      <c r="S31" s="32">
        <v>29.378329999999998</v>
      </c>
      <c r="T31" s="32">
        <v>63.293979999999998</v>
      </c>
      <c r="U31" s="32">
        <v>1.29437</v>
      </c>
      <c r="V31" s="32">
        <v>1.8205000000000002</v>
      </c>
      <c r="W31" s="33">
        <v>2.6718888888888888</v>
      </c>
      <c r="X31" s="33">
        <v>-3.2297584600000029</v>
      </c>
      <c r="Y31" s="36"/>
    </row>
    <row r="32" spans="1:25" x14ac:dyDescent="0.15">
      <c r="A32" s="29" t="s">
        <v>446</v>
      </c>
      <c r="B32" s="30">
        <v>7.4796314847942753</v>
      </c>
      <c r="C32" s="31">
        <v>7.6970000000000011E-2</v>
      </c>
      <c r="D32" s="31">
        <v>9.7699999999999992E-3</v>
      </c>
      <c r="E32" s="31">
        <v>8.2229999999999998E-2</v>
      </c>
      <c r="F32" s="31">
        <v>2.8833333333333332E-3</v>
      </c>
      <c r="G32" s="31">
        <v>3.3249999999999998E-3</v>
      </c>
      <c r="H32" s="31">
        <v>3.4520000000000002E-2</v>
      </c>
      <c r="I32" s="31">
        <v>2.9999999999999997E-4</v>
      </c>
      <c r="J32" s="31">
        <v>4.0099999999999997E-3</v>
      </c>
      <c r="K32" s="31">
        <v>8.7200000000000003E-3</v>
      </c>
      <c r="L32" s="31">
        <v>7.4400000000000004E-3</v>
      </c>
      <c r="M32" s="31">
        <v>3.8000000000000004E-3</v>
      </c>
      <c r="N32" s="31">
        <v>2.793E-2</v>
      </c>
      <c r="O32" s="31">
        <v>5.8700000000000002E-3</v>
      </c>
      <c r="P32" s="31">
        <v>0</v>
      </c>
      <c r="Q32" s="32">
        <v>7.3936999999999999</v>
      </c>
      <c r="R32" s="32">
        <v>1.0745200000000001</v>
      </c>
      <c r="S32" s="32">
        <v>31.911099999999994</v>
      </c>
      <c r="T32" s="32">
        <v>61.534329999999997</v>
      </c>
      <c r="U32" s="32">
        <v>1.36033</v>
      </c>
      <c r="V32" s="32">
        <v>2.0899899999999998</v>
      </c>
      <c r="W32" s="33">
        <v>2.6038749999999999</v>
      </c>
      <c r="X32" s="33">
        <v>-3.3764254840000021</v>
      </c>
      <c r="Y32" s="36"/>
    </row>
    <row r="33" spans="1:25" x14ac:dyDescent="0.15">
      <c r="A33" s="29" t="s">
        <v>447</v>
      </c>
      <c r="B33" s="30">
        <v>7.7247084078711987</v>
      </c>
      <c r="C33" s="31">
        <v>6.1580000000000003E-2</v>
      </c>
      <c r="D33" s="31">
        <v>8.5599999999999999E-3</v>
      </c>
      <c r="E33" s="31">
        <v>8.5559999999999997E-2</v>
      </c>
      <c r="F33" s="31">
        <v>1.5599999999999998E-3</v>
      </c>
      <c r="G33" s="31">
        <v>2.6750000000000003E-3</v>
      </c>
      <c r="H33" s="31">
        <v>3.184E-2</v>
      </c>
      <c r="I33" s="31">
        <v>2.9999999999999997E-4</v>
      </c>
      <c r="J33" s="31">
        <v>3.9399999999999999E-3</v>
      </c>
      <c r="K33" s="31">
        <v>9.1199999999999996E-3</v>
      </c>
      <c r="L33" s="31">
        <v>7.2900000000000005E-3</v>
      </c>
      <c r="M33" s="31">
        <v>3.7900000000000004E-3</v>
      </c>
      <c r="N33" s="31">
        <v>2.6000000000000002E-2</v>
      </c>
      <c r="O33" s="31">
        <v>5.5666666666666668E-3</v>
      </c>
      <c r="P33" s="31">
        <v>0</v>
      </c>
      <c r="Q33" s="32">
        <v>7.5600899999999998</v>
      </c>
      <c r="R33" s="32">
        <v>1.0930599999999999</v>
      </c>
      <c r="S33" s="32">
        <v>32.856960000000001</v>
      </c>
      <c r="T33" s="32">
        <v>60.896000000000001</v>
      </c>
      <c r="U33" s="32">
        <v>1.4525099999999997</v>
      </c>
      <c r="V33" s="32">
        <v>1.9584599999999999</v>
      </c>
      <c r="W33" s="33">
        <v>2.6796250000000001</v>
      </c>
      <c r="X33" s="33">
        <v>-3.6707018371428575</v>
      </c>
      <c r="Y33" s="36"/>
    </row>
    <row r="34" spans="1:25" x14ac:dyDescent="0.15">
      <c r="A34" s="29" t="s">
        <v>448</v>
      </c>
      <c r="B34" s="30">
        <v>7.9697853309481212</v>
      </c>
      <c r="C34" s="31">
        <v>0.10540000000000001</v>
      </c>
      <c r="D34" s="31">
        <v>1.3170000000000001E-2</v>
      </c>
      <c r="E34" s="31">
        <v>0.10477</v>
      </c>
      <c r="F34" s="31">
        <v>3.2571428571428578E-3</v>
      </c>
      <c r="G34" s="31">
        <v>2.7285714285714283E-3</v>
      </c>
      <c r="H34" s="31">
        <v>3.4529999999999998E-2</v>
      </c>
      <c r="I34" s="31">
        <v>4.0000000000000007E-4</v>
      </c>
      <c r="J34" s="31">
        <v>4.2199999999999998E-3</v>
      </c>
      <c r="K34" s="31">
        <v>9.8399999999999998E-3</v>
      </c>
      <c r="L34" s="31">
        <v>7.9000000000000008E-3</v>
      </c>
      <c r="M34" s="31">
        <v>4.2900000000000004E-3</v>
      </c>
      <c r="N34" s="31">
        <v>2.7720000000000002E-2</v>
      </c>
      <c r="O34" s="31">
        <v>5.9800000000000001E-3</v>
      </c>
      <c r="P34" s="31">
        <v>0</v>
      </c>
      <c r="Q34" s="32">
        <v>7.9012700000000011</v>
      </c>
      <c r="R34" s="32">
        <v>1.4126399999999999</v>
      </c>
      <c r="S34" s="32">
        <v>34.505870000000002</v>
      </c>
      <c r="T34" s="32">
        <v>48.633089999999996</v>
      </c>
      <c r="U34" s="32">
        <v>2.6063900000000002</v>
      </c>
      <c r="V34" s="32">
        <v>2.1619000000000002</v>
      </c>
      <c r="W34" s="33">
        <v>2.7076666666666664</v>
      </c>
      <c r="X34" s="33">
        <v>-3.8119321300000024</v>
      </c>
      <c r="Y34" s="36"/>
    </row>
    <row r="35" spans="1:25" x14ac:dyDescent="0.15">
      <c r="A35" s="29" t="s">
        <v>449</v>
      </c>
      <c r="B35" s="30">
        <v>8.2148622540250447</v>
      </c>
      <c r="C35" s="31">
        <v>0.13132671290458178</v>
      </c>
      <c r="D35" s="31">
        <v>0.17382098171318575</v>
      </c>
      <c r="E35" s="31">
        <v>0.12065850673194614</v>
      </c>
      <c r="F35" s="31">
        <v>3.7709580838323361E-3</v>
      </c>
      <c r="G35" s="31">
        <v>3.263595839524517E-3</v>
      </c>
      <c r="H35" s="31">
        <v>3.8220587146910082E-2</v>
      </c>
      <c r="I35" s="31">
        <v>4.3583535108958864E-4</v>
      </c>
      <c r="J35" s="31">
        <v>2.8810154525386314E-3</v>
      </c>
      <c r="K35" s="31">
        <v>9.1906484112632397E-3</v>
      </c>
      <c r="L35" s="31">
        <v>8.9968901174844514E-3</v>
      </c>
      <c r="M35" s="31">
        <v>4.9119663084519326E-3</v>
      </c>
      <c r="N35" s="31">
        <v>2.6589602947196065E-2</v>
      </c>
      <c r="O35" s="31">
        <v>5.7782462057335577E-3</v>
      </c>
      <c r="P35" s="31">
        <v>0</v>
      </c>
      <c r="Q35" s="32">
        <v>8.0864833139703975</v>
      </c>
      <c r="R35" s="32">
        <v>1.9083770607598873</v>
      </c>
      <c r="S35" s="32">
        <v>38.079293274517731</v>
      </c>
      <c r="T35" s="32">
        <v>49.349049633528438</v>
      </c>
      <c r="U35" s="32">
        <v>2.7597380410022776</v>
      </c>
      <c r="V35" s="32">
        <v>2.3574647391708949</v>
      </c>
      <c r="W35" s="33">
        <v>2.7247777777777777</v>
      </c>
      <c r="X35" s="33">
        <v>-3.5302491000000025</v>
      </c>
      <c r="Y35" s="36"/>
    </row>
    <row r="36" spans="1:25" x14ac:dyDescent="0.15">
      <c r="A36" s="29" t="s">
        <v>450</v>
      </c>
      <c r="B36" s="30">
        <v>8.459939177101969</v>
      </c>
      <c r="C36" s="31">
        <v>0.15010666246321985</v>
      </c>
      <c r="D36" s="31">
        <v>0.16608277189605392</v>
      </c>
      <c r="E36" s="31">
        <v>0.11310257037943697</v>
      </c>
      <c r="F36" s="31">
        <v>2.0748502994011979E-3</v>
      </c>
      <c r="G36" s="31">
        <v>3.6235512630014856E-3</v>
      </c>
      <c r="H36" s="31">
        <v>3.7598470457629214E-2</v>
      </c>
      <c r="I36" s="31">
        <v>4.3583535108958864E-4</v>
      </c>
      <c r="J36" s="31">
        <v>2.7236203090507723E-3</v>
      </c>
      <c r="K36" s="31">
        <v>8.2761560320330652E-3</v>
      </c>
      <c r="L36" s="31">
        <v>8.3207601935038032E-3</v>
      </c>
      <c r="M36" s="31">
        <v>4.5185593958756909E-3</v>
      </c>
      <c r="N36" s="31">
        <v>2.5401882930822753E-2</v>
      </c>
      <c r="O36" s="31">
        <v>4.8878583473861712E-3</v>
      </c>
      <c r="P36" s="31">
        <v>0</v>
      </c>
      <c r="Q36" s="32">
        <v>7.8923603043220796</v>
      </c>
      <c r="R36" s="32">
        <v>1.7340527432862658</v>
      </c>
      <c r="S36" s="32">
        <v>36.615736899473667</v>
      </c>
      <c r="T36" s="32">
        <v>52.061137291553926</v>
      </c>
      <c r="U36" s="32">
        <v>2.372795178435839</v>
      </c>
      <c r="V36" s="32">
        <v>2.1767752612689639</v>
      </c>
      <c r="W36" s="33">
        <v>2.7844444444444445</v>
      </c>
      <c r="X36" s="33">
        <v>-3.3442208200000003</v>
      </c>
      <c r="Y36" s="36"/>
    </row>
    <row r="37" spans="1:25" x14ac:dyDescent="0.15">
      <c r="A37" s="29" t="s">
        <v>451</v>
      </c>
      <c r="B37" s="30">
        <v>8.7050161001788915</v>
      </c>
      <c r="C37" s="31">
        <v>8.2054311774461028E-2</v>
      </c>
      <c r="D37" s="31">
        <v>0.13436742607852642</v>
      </c>
      <c r="E37" s="31">
        <v>0.12675296829785349</v>
      </c>
      <c r="F37" s="31">
        <v>2.6618685497012489E-3</v>
      </c>
      <c r="G37" s="31">
        <v>3.104205457463885E-3</v>
      </c>
      <c r="H37" s="31">
        <v>3.5797971777677219E-2</v>
      </c>
      <c r="I37" s="31">
        <v>4.8913043478260884E-4</v>
      </c>
      <c r="J37" s="31">
        <v>2.7899999999999995E-3</v>
      </c>
      <c r="K37" s="31">
        <v>8.5147549668874202E-3</v>
      </c>
      <c r="L37" s="31">
        <v>9.1741609324533079E-3</v>
      </c>
      <c r="M37" s="31">
        <v>4.9736292428198435E-3</v>
      </c>
      <c r="N37" s="31">
        <v>2.4646840148698879E-2</v>
      </c>
      <c r="O37" s="31">
        <v>5.7943453382699435E-3</v>
      </c>
      <c r="P37" s="31">
        <v>0</v>
      </c>
      <c r="Q37" s="32">
        <v>8.3297604815166881</v>
      </c>
      <c r="R37" s="32">
        <v>2.1360186686633029</v>
      </c>
      <c r="S37" s="32">
        <v>39.669794394374676</v>
      </c>
      <c r="T37" s="32">
        <v>48.251646018563321</v>
      </c>
      <c r="U37" s="32">
        <v>2.8670670614532865</v>
      </c>
      <c r="V37" s="32">
        <v>2.3514611489042139</v>
      </c>
      <c r="W37" s="33">
        <v>2.92</v>
      </c>
      <c r="X37" s="33">
        <v>-3.4075146250000046</v>
      </c>
      <c r="Y37" s="36"/>
    </row>
    <row r="38" spans="1:25" x14ac:dyDescent="0.15">
      <c r="A38" s="29" t="s">
        <v>452</v>
      </c>
      <c r="B38" s="30">
        <v>8.9500930232558158</v>
      </c>
      <c r="C38" s="31">
        <v>9.039800995024877E-2</v>
      </c>
      <c r="D38" s="31">
        <v>0.18951042171594762</v>
      </c>
      <c r="E38" s="31">
        <v>8.393838514924111E-2</v>
      </c>
      <c r="F38" s="31">
        <v>3.2695274307441608E-3</v>
      </c>
      <c r="G38" s="31">
        <v>2.2593900481540931E-3</v>
      </c>
      <c r="H38" s="31">
        <v>4.4252314148187782E-2</v>
      </c>
      <c r="I38" s="31">
        <v>3.2608695652173916E-4</v>
      </c>
      <c r="J38" s="31">
        <v>3.1023664122137398E-3</v>
      </c>
      <c r="K38" s="31">
        <v>9.8369801324503306E-3</v>
      </c>
      <c r="L38" s="31">
        <v>9.816795393905349E-3</v>
      </c>
      <c r="M38" s="31">
        <v>3.8958224543080931E-3</v>
      </c>
      <c r="N38" s="31">
        <v>2.3032713754646831E-2</v>
      </c>
      <c r="O38" s="31">
        <v>4.3226186469202286E-3</v>
      </c>
      <c r="P38" s="31">
        <v>0</v>
      </c>
      <c r="Q38" s="32">
        <v>6.5377202348971863</v>
      </c>
      <c r="R38" s="32">
        <v>1.5115908037671599</v>
      </c>
      <c r="S38" s="32">
        <v>30.360442591081693</v>
      </c>
      <c r="T38" s="32">
        <v>58.960180661656672</v>
      </c>
      <c r="U38" s="32">
        <v>2.6692967996236416</v>
      </c>
      <c r="V38" s="32">
        <v>1.6993996214882443</v>
      </c>
      <c r="W38" s="33">
        <v>2.8696666666666664</v>
      </c>
      <c r="X38" s="33">
        <v>-2.8807668200000016</v>
      </c>
      <c r="Y38" s="36"/>
    </row>
    <row r="39" spans="1:25" x14ac:dyDescent="0.15">
      <c r="A39" s="29" t="s">
        <v>0</v>
      </c>
      <c r="B39" s="30">
        <v>8.9868699999999997</v>
      </c>
      <c r="C39" s="31">
        <v>4.846496683250414E-2</v>
      </c>
      <c r="D39" s="31">
        <v>0.1611245758603975</v>
      </c>
      <c r="E39" s="31">
        <v>0.43187222414779819</v>
      </c>
      <c r="F39" s="31">
        <v>1.0152743074416078E-2</v>
      </c>
      <c r="G39" s="31">
        <v>8.7428571428571425E-3</v>
      </c>
      <c r="H39" s="31">
        <v>3.93517381824166E-2</v>
      </c>
      <c r="I39" s="31">
        <v>1.4239130434782611E-3</v>
      </c>
      <c r="J39" s="31">
        <v>3.6277099236641207E-3</v>
      </c>
      <c r="K39" s="31">
        <v>7.3894569536423855E-3</v>
      </c>
      <c r="L39" s="31">
        <v>1.2221134672096616E-2</v>
      </c>
      <c r="M39" s="31">
        <v>1.33266318537859E-2</v>
      </c>
      <c r="N39" s="31">
        <v>1.4343494423791814E-2</v>
      </c>
      <c r="O39" s="31">
        <v>1.6466677886233596E-2</v>
      </c>
      <c r="P39" s="31">
        <v>1.4874340676388456E-3</v>
      </c>
      <c r="Q39" s="32">
        <v>13.296831292573238</v>
      </c>
      <c r="R39" s="32">
        <v>5.3042937756772197</v>
      </c>
      <c r="S39" s="32">
        <v>60.686372290281902</v>
      </c>
      <c r="T39" s="32">
        <v>3.4737618462112096</v>
      </c>
      <c r="U39" s="32">
        <v>4.2682560460560763</v>
      </c>
      <c r="V39" s="32">
        <v>4.4754408314054706</v>
      </c>
      <c r="W39" s="33">
        <v>1.7064444444444447</v>
      </c>
      <c r="X39" s="33">
        <v>-0.83894208249999735</v>
      </c>
    </row>
    <row r="40" spans="1:25" x14ac:dyDescent="0.15">
      <c r="A40" s="29" t="s">
        <v>1</v>
      </c>
      <c r="B40" s="30">
        <v>9.0790449999999989</v>
      </c>
      <c r="C40" s="31">
        <v>4.777363184079602E-2</v>
      </c>
      <c r="D40" s="31">
        <v>0.1479786718371304</v>
      </c>
      <c r="E40" s="31">
        <v>0.40819016451584306</v>
      </c>
      <c r="F40" s="31">
        <v>8.5233568712656145E-3</v>
      </c>
      <c r="G40" s="31">
        <v>8.1927447833065811E-3</v>
      </c>
      <c r="H40" s="31">
        <v>4.0981490928539109E-2</v>
      </c>
      <c r="I40" s="31">
        <v>1.3478260869565219E-3</v>
      </c>
      <c r="J40" s="31">
        <v>3.6561068702290066E-3</v>
      </c>
      <c r="K40" s="31">
        <v>7.1175099337748363E-3</v>
      </c>
      <c r="L40" s="31">
        <v>1.194413705940177E-2</v>
      </c>
      <c r="M40" s="31">
        <v>1.3203133159268925E-2</v>
      </c>
      <c r="N40" s="31">
        <v>3.7695167286245335E-2</v>
      </c>
      <c r="O40" s="31">
        <v>1.963227869404241E-2</v>
      </c>
      <c r="P40" s="31">
        <v>1.139311200744648E-3</v>
      </c>
      <c r="Q40" s="32">
        <v>13.034730818796286</v>
      </c>
      <c r="R40" s="32">
        <v>4.9214615345006445</v>
      </c>
      <c r="S40" s="32">
        <v>58.707534641305202</v>
      </c>
      <c r="T40" s="32">
        <v>4.1659425700119401</v>
      </c>
      <c r="U40" s="32">
        <v>4.2487536579336966</v>
      </c>
      <c r="V40" s="32">
        <v>4.2386510704785572</v>
      </c>
      <c r="W40" s="33">
        <v>1.6866666666666668</v>
      </c>
      <c r="X40" s="33">
        <v>-2.0958050799999981</v>
      </c>
    </row>
    <row r="41" spans="1:25" x14ac:dyDescent="0.15">
      <c r="A41" s="29" t="s">
        <v>2</v>
      </c>
      <c r="B41" s="30">
        <v>9.1712199999999999</v>
      </c>
      <c r="C41" s="31">
        <v>4.8262334162520744E-2</v>
      </c>
      <c r="D41" s="31">
        <v>0.15251575375666504</v>
      </c>
      <c r="E41" s="31">
        <v>0.38726674780954534</v>
      </c>
      <c r="F41" s="31">
        <v>9.6795219989136358E-3</v>
      </c>
      <c r="G41" s="31">
        <v>8.536565008025682E-3</v>
      </c>
      <c r="H41" s="31">
        <v>3.8514226354548077E-2</v>
      </c>
      <c r="I41" s="31">
        <v>1.3043478260869566E-3</v>
      </c>
      <c r="J41" s="31">
        <v>3.5070229007633583E-3</v>
      </c>
      <c r="K41" s="31">
        <v>7.3331920529801356E-3</v>
      </c>
      <c r="L41" s="31">
        <v>1.4647633759303469E-2</v>
      </c>
      <c r="M41" s="31">
        <v>1.3214360313315925E-2</v>
      </c>
      <c r="N41" s="31">
        <v>1.1308550185873602E-2</v>
      </c>
      <c r="O41" s="31">
        <v>1.6522214742510942E-2</v>
      </c>
      <c r="P41" s="31">
        <v>1.0325007756748371E-3</v>
      </c>
      <c r="Q41" s="32">
        <v>13.090604638580698</v>
      </c>
      <c r="R41" s="32">
        <v>4.757550721346818</v>
      </c>
      <c r="S41" s="32">
        <v>59.79849448753108</v>
      </c>
      <c r="T41" s="32">
        <v>3.8452354150113406</v>
      </c>
      <c r="U41" s="32">
        <v>4.1828199512541291</v>
      </c>
      <c r="V41" s="32">
        <v>4.375400710809866</v>
      </c>
      <c r="W41" s="33">
        <v>1.7718888888888888</v>
      </c>
      <c r="X41" s="33">
        <v>-1.7256731628571451</v>
      </c>
    </row>
    <row r="42" spans="1:25" x14ac:dyDescent="0.15">
      <c r="A42" s="29" t="s">
        <v>3</v>
      </c>
      <c r="B42" s="30">
        <v>9.2633949999999992</v>
      </c>
      <c r="C42" s="31">
        <v>4.8870232172470975E-2</v>
      </c>
      <c r="D42" s="31">
        <v>0.13820649539505578</v>
      </c>
      <c r="E42" s="31">
        <v>0.39958052893334733</v>
      </c>
      <c r="F42" s="31">
        <v>8.7384573601303646E-3</v>
      </c>
      <c r="G42" s="31">
        <v>8.6839165329052979E-3</v>
      </c>
      <c r="H42" s="31">
        <v>4.2667832311679775E-2</v>
      </c>
      <c r="I42" s="31">
        <v>1.3586956521739132E-3</v>
      </c>
      <c r="J42" s="31">
        <v>3.826488549618319E-3</v>
      </c>
      <c r="K42" s="31">
        <v>7.9239735099337748E-3</v>
      </c>
      <c r="L42" s="31">
        <v>1.4426035669147588E-2</v>
      </c>
      <c r="M42" s="31">
        <v>1.2967362924281984E-2</v>
      </c>
      <c r="N42" s="31">
        <v>1.0912267657992561E-2</v>
      </c>
      <c r="O42" s="31">
        <v>1.4772803769774486E-2</v>
      </c>
      <c r="P42" s="31">
        <v>1.0308053721023005E-3</v>
      </c>
      <c r="Q42" s="32">
        <v>12.814427466288947</v>
      </c>
      <c r="R42" s="32">
        <v>5.1065918715849872</v>
      </c>
      <c r="S42" s="32">
        <v>57.763908611991653</v>
      </c>
      <c r="T42" s="32">
        <v>5.1053416813518995</v>
      </c>
      <c r="U42" s="32">
        <v>4.3629084592956042</v>
      </c>
      <c r="V42" s="32">
        <v>4.1541603971072458</v>
      </c>
      <c r="W42" s="33">
        <v>1.3397777777777777</v>
      </c>
      <c r="X42" s="33">
        <v>-0.85396392000000176</v>
      </c>
    </row>
    <row r="43" spans="1:25" x14ac:dyDescent="0.15">
      <c r="A43" s="29" t="s">
        <v>4</v>
      </c>
      <c r="B43" s="30">
        <v>9.3555700000000002</v>
      </c>
      <c r="C43" s="31">
        <v>4.8012023217247096E-2</v>
      </c>
      <c r="D43" s="31">
        <v>0.13076102762966552</v>
      </c>
      <c r="E43" s="31">
        <v>0.38370720855063239</v>
      </c>
      <c r="F43" s="31">
        <v>1.0959369907658879E-2</v>
      </c>
      <c r="G43" s="31">
        <v>7.5738683788121987E-3</v>
      </c>
      <c r="H43" s="31">
        <v>3.6318587238244139E-2</v>
      </c>
      <c r="I43" s="31">
        <v>1.1956521739130439E-3</v>
      </c>
      <c r="J43" s="31">
        <v>3.4218320610687014E-3</v>
      </c>
      <c r="K43" s="31">
        <v>6.442331125827816E-3</v>
      </c>
      <c r="L43" s="31">
        <v>1.0946945653700324E-2</v>
      </c>
      <c r="M43" s="31">
        <v>1.2551958224543077E-2</v>
      </c>
      <c r="N43" s="31">
        <v>1.1685501858736055E-2</v>
      </c>
      <c r="O43" s="31">
        <v>1.7207169303264897E-2</v>
      </c>
      <c r="P43" s="31">
        <v>9.01954700589513E-4</v>
      </c>
      <c r="Q43" s="32">
        <v>12.718911327439614</v>
      </c>
      <c r="R43" s="32">
        <v>4.5219072408178214</v>
      </c>
      <c r="S43" s="32">
        <v>60.107337254557905</v>
      </c>
      <c r="T43" s="32">
        <v>4.3489518516710088</v>
      </c>
      <c r="U43" s="32">
        <v>3.9251230474408416</v>
      </c>
      <c r="V43" s="32">
        <v>3.9372696538653038</v>
      </c>
      <c r="W43" s="33">
        <v>1.7386250000000001</v>
      </c>
      <c r="X43" s="33">
        <v>-1.1982132400000047</v>
      </c>
    </row>
    <row r="44" spans="1:25" x14ac:dyDescent="0.15">
      <c r="A44" s="29" t="s">
        <v>5</v>
      </c>
      <c r="B44" s="30">
        <v>9.4477449999999994</v>
      </c>
      <c r="C44" s="31">
        <v>4.7251911098527742E-2</v>
      </c>
      <c r="D44" s="31">
        <v>0.12524216120460588</v>
      </c>
      <c r="E44" s="31">
        <v>0.40094723722476128</v>
      </c>
      <c r="F44" s="31">
        <v>8.1163676042677012E-3</v>
      </c>
      <c r="G44" s="31">
        <v>7.8975234842015383E-3</v>
      </c>
      <c r="H44" s="31">
        <v>3.4550716084031527E-2</v>
      </c>
      <c r="I44" s="31">
        <v>1.246478873239437E-3</v>
      </c>
      <c r="J44" s="31">
        <v>2.9882882882882877E-3</v>
      </c>
      <c r="K44" s="31">
        <v>6.1992076069730595E-3</v>
      </c>
      <c r="L44" s="31">
        <v>1.1397270847691248E-2</v>
      </c>
      <c r="M44" s="31">
        <v>1.2768405712620228E-2</v>
      </c>
      <c r="N44" s="31">
        <v>1.2347355573637102E-2</v>
      </c>
      <c r="O44" s="31">
        <v>1.7234878687777656E-2</v>
      </c>
      <c r="P44" s="31">
        <v>9.5913200723327314E-4</v>
      </c>
      <c r="Q44" s="32">
        <v>13.019815995120537</v>
      </c>
      <c r="R44" s="32">
        <v>4.5698246508606966</v>
      </c>
      <c r="S44" s="32">
        <v>61.950334961503522</v>
      </c>
      <c r="T44" s="32">
        <v>4.0670595382746058</v>
      </c>
      <c r="U44" s="32">
        <v>3.8816117723231454</v>
      </c>
      <c r="V44" s="32">
        <v>4.2459067935022503</v>
      </c>
      <c r="W44" s="33">
        <v>2.0778888888888889</v>
      </c>
      <c r="X44" s="33">
        <v>-1.092912179999999</v>
      </c>
    </row>
    <row r="45" spans="1:25" x14ac:dyDescent="0.15">
      <c r="A45" s="29" t="s">
        <v>6</v>
      </c>
      <c r="B45" s="30">
        <v>9.5399200000000004</v>
      </c>
      <c r="C45" s="31">
        <v>4.9107800113250277E-2</v>
      </c>
      <c r="D45" s="31">
        <v>0.13231674047829944</v>
      </c>
      <c r="E45" s="31">
        <v>0.38796304895036532</v>
      </c>
      <c r="F45" s="31">
        <v>8.3936348205625611E-3</v>
      </c>
      <c r="G45" s="31">
        <v>8.0061144321093101E-3</v>
      </c>
      <c r="H45" s="31">
        <v>3.8876651946015112E-2</v>
      </c>
      <c r="I45" s="31">
        <v>1.3626760563380286E-3</v>
      </c>
      <c r="J45" s="31">
        <v>3.3653153153153149E-3</v>
      </c>
      <c r="K45" s="31">
        <v>6.7321711568938195E-3</v>
      </c>
      <c r="L45" s="31">
        <v>1.23434183321847E-2</v>
      </c>
      <c r="M45" s="31">
        <v>1.2869921305741766E-2</v>
      </c>
      <c r="N45" s="31">
        <v>2.1400813669650125E-2</v>
      </c>
      <c r="O45" s="31">
        <v>1.8841838478186584E-2</v>
      </c>
      <c r="P45" s="31">
        <v>7.8390596745027093E-4</v>
      </c>
      <c r="Q45" s="32">
        <v>12.975856946053572</v>
      </c>
      <c r="R45" s="32">
        <v>4.7917833334308568</v>
      </c>
      <c r="S45" s="32">
        <v>59.433571573452937</v>
      </c>
      <c r="T45" s="32">
        <v>4.4732000035737256</v>
      </c>
      <c r="U45" s="32">
        <v>4.0488212937764194</v>
      </c>
      <c r="V45" s="32">
        <v>4.3386415754392145</v>
      </c>
      <c r="W45" s="33">
        <v>1.7004444444444444</v>
      </c>
      <c r="X45" s="33">
        <v>-1.1360241800000068</v>
      </c>
    </row>
    <row r="46" spans="1:25" x14ac:dyDescent="0.15">
      <c r="A46" s="29" t="s">
        <v>7</v>
      </c>
      <c r="B46" s="30">
        <v>9.6320949999999996</v>
      </c>
      <c r="C46" s="31">
        <v>4.656816251415629E-2</v>
      </c>
      <c r="D46" s="31">
        <v>0.12911107174490702</v>
      </c>
      <c r="E46" s="31">
        <v>0.41356044869131703</v>
      </c>
      <c r="F46" s="31">
        <v>7.92192046556741E-3</v>
      </c>
      <c r="G46" s="31">
        <v>7.7741246797608868E-3</v>
      </c>
      <c r="H46" s="31">
        <v>3.6776131908044088E-2</v>
      </c>
      <c r="I46" s="31">
        <v>1.3626760563380286E-3</v>
      </c>
      <c r="J46" s="31">
        <v>3.3373873873873867E-3</v>
      </c>
      <c r="K46" s="31">
        <v>6.8911251980982562E-3</v>
      </c>
      <c r="L46" s="31">
        <v>1.1397270847691248E-2</v>
      </c>
      <c r="M46" s="31">
        <v>1.3343660740308948E-2</v>
      </c>
      <c r="N46" s="31">
        <v>1.0947925142392187E-2</v>
      </c>
      <c r="O46" s="31">
        <v>1.6830789383756695E-2</v>
      </c>
      <c r="P46" s="31">
        <v>1.0513562386980108E-3</v>
      </c>
      <c r="Q46" s="32">
        <v>13.417265178242166</v>
      </c>
      <c r="R46" s="32">
        <v>4.8823773655248397</v>
      </c>
      <c r="S46" s="32">
        <v>61.934113212537603</v>
      </c>
      <c r="T46" s="32">
        <v>3.1409688817811445</v>
      </c>
      <c r="U46" s="32">
        <v>4.0513575493101586</v>
      </c>
      <c r="V46" s="32">
        <v>4.5216030557517426</v>
      </c>
      <c r="W46" s="33">
        <v>2.1268888888888888</v>
      </c>
      <c r="X46" s="33">
        <v>-0.64623144249999953</v>
      </c>
    </row>
    <row r="47" spans="1:25" x14ac:dyDescent="0.15">
      <c r="A47" s="29" t="s">
        <v>8</v>
      </c>
      <c r="B47" s="30">
        <v>9.7242699999999989</v>
      </c>
      <c r="C47" s="31">
        <v>4.6336176387315971E-2</v>
      </c>
      <c r="D47" s="31">
        <v>0.13795429583702395</v>
      </c>
      <c r="E47" s="31">
        <v>0.40126200542535256</v>
      </c>
      <c r="F47" s="31">
        <v>8.9330455868089249E-3</v>
      </c>
      <c r="G47" s="31">
        <v>9.1018958155422713E-3</v>
      </c>
      <c r="H47" s="31">
        <v>3.5334153287382888E-2</v>
      </c>
      <c r="I47" s="31">
        <v>1.3732394366197183E-3</v>
      </c>
      <c r="J47" s="31">
        <v>3.358333333333333E-3</v>
      </c>
      <c r="K47" s="31">
        <v>6.7134706814580046E-3</v>
      </c>
      <c r="L47" s="31">
        <v>1.1854031702274292E-2</v>
      </c>
      <c r="M47" s="31">
        <v>1.4189624016321773E-2</v>
      </c>
      <c r="N47" s="31">
        <v>8.9392188771358818E-3</v>
      </c>
      <c r="O47" s="31">
        <v>1.620116186353799E-2</v>
      </c>
      <c r="P47" s="31">
        <v>1.6600361663652802E-3</v>
      </c>
      <c r="Q47" s="32">
        <v>13.754466328574114</v>
      </c>
      <c r="R47" s="32">
        <v>5.0839309152644958</v>
      </c>
      <c r="S47" s="32">
        <v>61.222246064482142</v>
      </c>
      <c r="T47" s="32">
        <v>2.7862383407190343</v>
      </c>
      <c r="U47" s="32">
        <v>3.9629858504719149</v>
      </c>
      <c r="V47" s="32">
        <v>4.8225623648141589</v>
      </c>
      <c r="W47" s="33">
        <v>2.007625</v>
      </c>
      <c r="X47" s="33">
        <v>-0.76992631428571201</v>
      </c>
    </row>
    <row r="48" spans="1:25" x14ac:dyDescent="0.15">
      <c r="A48" s="29" t="s">
        <v>9</v>
      </c>
      <c r="B48" s="30">
        <v>9.8164449999999999</v>
      </c>
      <c r="C48" s="31">
        <v>4.662921149490374E-2</v>
      </c>
      <c r="D48" s="31">
        <v>0.14359185119574847</v>
      </c>
      <c r="E48" s="31">
        <v>0.40914245216158757</v>
      </c>
      <c r="F48" s="31">
        <v>8.7285160038797268E-3</v>
      </c>
      <c r="G48" s="31">
        <v>8.109064291814079E-3</v>
      </c>
      <c r="H48" s="31">
        <v>3.5175195014239137E-2</v>
      </c>
      <c r="I48" s="31">
        <v>1.2676056338028173E-3</v>
      </c>
      <c r="J48" s="31">
        <v>3.1558558558558557E-3</v>
      </c>
      <c r="K48" s="31">
        <v>6.6199683042789236E-3</v>
      </c>
      <c r="L48" s="31">
        <v>1.119064093728463E-2</v>
      </c>
      <c r="M48" s="31">
        <v>1.3005275429903818E-2</v>
      </c>
      <c r="N48" s="31">
        <v>9.7864930838079747E-3</v>
      </c>
      <c r="O48" s="31">
        <v>1.7122109579678781E-2</v>
      </c>
      <c r="P48" s="31">
        <v>1.5332278481012657E-3</v>
      </c>
      <c r="Q48" s="32">
        <v>13.094888719853779</v>
      </c>
      <c r="R48" s="32">
        <v>4.4251649462216394</v>
      </c>
      <c r="S48" s="32">
        <v>62.996872630144175</v>
      </c>
      <c r="T48" s="32">
        <v>3.0266741566006714</v>
      </c>
      <c r="U48" s="32">
        <v>3.9469738275842108</v>
      </c>
      <c r="V48" s="32">
        <v>4.2834744553941899</v>
      </c>
      <c r="W48" s="33">
        <v>2.1231111111111112</v>
      </c>
      <c r="X48" s="33">
        <v>-0.57723877000000101</v>
      </c>
    </row>
    <row r="49" spans="1:25" x14ac:dyDescent="0.15">
      <c r="A49" s="29" t="s">
        <v>10</v>
      </c>
      <c r="B49" s="30">
        <v>9.9086199999999991</v>
      </c>
      <c r="C49" s="31">
        <v>4.8826974801812008E-2</v>
      </c>
      <c r="D49" s="31">
        <v>0.14049672276350755</v>
      </c>
      <c r="E49" s="31">
        <v>0.39695642611012</v>
      </c>
      <c r="F49" s="31">
        <v>7.1249272550921432E-3</v>
      </c>
      <c r="G49" s="31">
        <v>8.8106746370623414E-3</v>
      </c>
      <c r="H49" s="31">
        <v>4.2509983903586609E-2</v>
      </c>
      <c r="I49" s="31">
        <v>1.3732394366197183E-3</v>
      </c>
      <c r="J49" s="31">
        <v>3.49099099099099E-3</v>
      </c>
      <c r="K49" s="31">
        <v>7.190332805071315E-3</v>
      </c>
      <c r="L49" s="31">
        <v>1.1516898690558237E-2</v>
      </c>
      <c r="M49" s="31">
        <v>1.2745846691926554E-2</v>
      </c>
      <c r="N49" s="31">
        <v>1.0014971521562242E-2</v>
      </c>
      <c r="O49" s="31">
        <v>1.5082868208224175E-2</v>
      </c>
      <c r="P49" s="31">
        <v>9.2224231464737769E-4</v>
      </c>
      <c r="Q49" s="32">
        <v>13.033671224920646</v>
      </c>
      <c r="R49" s="32">
        <v>5.0958515304284298</v>
      </c>
      <c r="S49" s="32">
        <v>58.710529442776497</v>
      </c>
      <c r="T49" s="32">
        <v>4.9722333106997363</v>
      </c>
      <c r="U49" s="32">
        <v>4.2371866495412469</v>
      </c>
      <c r="V49" s="32">
        <v>4.1566983341793931</v>
      </c>
      <c r="W49" s="33">
        <v>1.3089999999999999</v>
      </c>
      <c r="X49" s="33">
        <v>-0.96451925499999902</v>
      </c>
    </row>
    <row r="50" spans="1:25" x14ac:dyDescent="0.15">
      <c r="A50" s="29" t="s">
        <v>11</v>
      </c>
      <c r="B50" s="30">
        <v>10.000795</v>
      </c>
      <c r="C50" s="31">
        <v>4.7642624575311446E-2</v>
      </c>
      <c r="D50" s="31">
        <v>0.14591319751992918</v>
      </c>
      <c r="E50" s="31">
        <v>0.40048632664532374</v>
      </c>
      <c r="F50" s="31">
        <v>8.1235693501454896E-3</v>
      </c>
      <c r="G50" s="31">
        <v>6.6511955593509834E-3</v>
      </c>
      <c r="H50" s="31">
        <v>4.0159672293532546E-2</v>
      </c>
      <c r="I50" s="31">
        <v>1.2676056338028173E-3</v>
      </c>
      <c r="J50" s="31">
        <v>3.3094594594594586E-3</v>
      </c>
      <c r="K50" s="31">
        <v>7.2370839936608568E-3</v>
      </c>
      <c r="L50" s="31">
        <v>1.0266243969676087E-2</v>
      </c>
      <c r="M50" s="31">
        <v>1.2407461381521422E-2</v>
      </c>
      <c r="N50" s="31">
        <v>9.9578519121236771E-3</v>
      </c>
      <c r="O50" s="31">
        <v>1.5176842464973231E-2</v>
      </c>
      <c r="P50" s="31">
        <v>9.6176698527512241E-4</v>
      </c>
      <c r="Q50" s="32">
        <v>12.530197218423401</v>
      </c>
      <c r="R50" s="32">
        <v>4.5905601776813327</v>
      </c>
      <c r="S50" s="32">
        <v>59.34274070298045</v>
      </c>
      <c r="T50" s="32">
        <v>4.7949299549710531</v>
      </c>
      <c r="U50" s="32">
        <v>4.2510494759726507</v>
      </c>
      <c r="V50" s="32">
        <v>4.2051343581707412</v>
      </c>
      <c r="W50" s="33">
        <v>1.8370000000000002</v>
      </c>
      <c r="X50" s="33">
        <v>-0.70176508750000011</v>
      </c>
    </row>
    <row r="51" spans="1:25" x14ac:dyDescent="0.15">
      <c r="A51" s="29" t="s">
        <v>12</v>
      </c>
      <c r="B51" s="30">
        <v>10.092969999999999</v>
      </c>
      <c r="C51" s="31">
        <v>4.6407778780098524E-2</v>
      </c>
      <c r="D51" s="31">
        <v>0.1389493374902572</v>
      </c>
      <c r="E51" s="31">
        <v>0.42257685908416603</v>
      </c>
      <c r="F51" s="31">
        <v>8.515724465558195E-3</v>
      </c>
      <c r="G51" s="31">
        <v>8.5485714285714262E-3</v>
      </c>
      <c r="H51" s="31">
        <v>4.203057708871661E-2</v>
      </c>
      <c r="I51" s="31">
        <v>1.4464285714285725E-3</v>
      </c>
      <c r="J51" s="31">
        <v>3.4576923076923066E-3</v>
      </c>
      <c r="K51" s="31">
        <v>6.5444591377942342E-3</v>
      </c>
      <c r="L51" s="31">
        <v>1.1359607466373866E-2</v>
      </c>
      <c r="M51" s="31">
        <v>1.3283906385437732E-2</v>
      </c>
      <c r="N51" s="31">
        <v>9.1552620718118021E-3</v>
      </c>
      <c r="O51" s="31">
        <v>1.4959505061867264E-2</v>
      </c>
      <c r="P51" s="31">
        <v>9.8076923076923059E-4</v>
      </c>
      <c r="Q51" s="32">
        <v>13.283215004405966</v>
      </c>
      <c r="R51" s="32">
        <v>5.38259099007381</v>
      </c>
      <c r="S51" s="32">
        <v>58.782275083717053</v>
      </c>
      <c r="T51" s="32">
        <v>4.0824671552298462</v>
      </c>
      <c r="U51" s="32">
        <v>4.4029623118425549</v>
      </c>
      <c r="V51" s="32">
        <v>4.2413266521581923</v>
      </c>
      <c r="W51" s="33">
        <v>1.7931111111111109</v>
      </c>
      <c r="X51" s="33">
        <v>-0.29544796000000062</v>
      </c>
    </row>
    <row r="52" spans="1:25" x14ac:dyDescent="0.15">
      <c r="A52" s="29" t="s">
        <v>13</v>
      </c>
      <c r="B52" s="30">
        <v>10.185145</v>
      </c>
      <c r="C52" s="31">
        <v>4.7197800291444013E-2</v>
      </c>
      <c r="D52" s="31">
        <v>0.12828682774746691</v>
      </c>
      <c r="E52" s="31">
        <v>0.41776983665139461</v>
      </c>
      <c r="F52" s="31">
        <v>7.7914489311163883E-3</v>
      </c>
      <c r="G52" s="31">
        <v>8.3835242113723119E-3</v>
      </c>
      <c r="H52" s="31">
        <v>4.2053143841515948E-2</v>
      </c>
      <c r="I52" s="31">
        <v>1.4357142857142865E-3</v>
      </c>
      <c r="J52" s="31">
        <v>3.7171945701357451E-3</v>
      </c>
      <c r="K52" s="31">
        <v>8.042475535572597E-3</v>
      </c>
      <c r="L52" s="31">
        <v>1.2031004666483665E-2</v>
      </c>
      <c r="M52" s="31">
        <v>1.3496359433689683E-2</v>
      </c>
      <c r="N52" s="31">
        <v>9.2711514651258754E-3</v>
      </c>
      <c r="O52" s="31">
        <v>1.5377109111361077E-2</v>
      </c>
      <c r="P52" s="31">
        <v>9.5796064400715554E-4</v>
      </c>
      <c r="Q52" s="32">
        <v>13.23003388186717</v>
      </c>
      <c r="R52" s="32">
        <v>5.2043547976584366</v>
      </c>
      <c r="S52" s="32">
        <v>58.55796704505871</v>
      </c>
      <c r="T52" s="32">
        <v>4.07282291805463</v>
      </c>
      <c r="U52" s="32">
        <v>4.4031051151414218</v>
      </c>
      <c r="V52" s="32">
        <v>4.2617348223848923</v>
      </c>
      <c r="W52" s="33">
        <v>1.6344285714285716</v>
      </c>
      <c r="X52" s="33">
        <v>-0.48640332571428502</v>
      </c>
    </row>
    <row r="53" spans="1:25" x14ac:dyDescent="0.15">
      <c r="A53" s="29" t="s">
        <v>14</v>
      </c>
      <c r="B53" s="30">
        <v>10.27732</v>
      </c>
      <c r="C53" s="31">
        <v>4.8131462077579609E-2</v>
      </c>
      <c r="D53" s="31">
        <v>0.14254091971940763</v>
      </c>
      <c r="E53" s="31">
        <v>0.41600537665254206</v>
      </c>
      <c r="F53" s="31">
        <v>9.1456247030878863E-3</v>
      </c>
      <c r="G53" s="31">
        <v>8.4723327305605764E-3</v>
      </c>
      <c r="H53" s="31">
        <v>4.4558053402239436E-2</v>
      </c>
      <c r="I53" s="31">
        <v>1.4250000000000009E-3</v>
      </c>
      <c r="J53" s="31">
        <v>3.6891402714932108E-3</v>
      </c>
      <c r="K53" s="31">
        <v>7.433906373975137E-3</v>
      </c>
      <c r="L53" s="31">
        <v>1.1966030743892395E-2</v>
      </c>
      <c r="M53" s="31">
        <v>1.3250361167292687E-2</v>
      </c>
      <c r="N53" s="31">
        <v>9.329096161782912E-3</v>
      </c>
      <c r="O53" s="31">
        <v>1.5126546681664792E-2</v>
      </c>
      <c r="P53" s="31">
        <v>1.1404293381037567E-3</v>
      </c>
      <c r="Q53" s="32">
        <v>13.007994163000019</v>
      </c>
      <c r="R53" s="32">
        <v>5.2271570374141012</v>
      </c>
      <c r="S53" s="32">
        <v>58.071711581072059</v>
      </c>
      <c r="T53" s="32">
        <v>4.2893873417721533</v>
      </c>
      <c r="U53" s="32">
        <v>4.4292177183627981</v>
      </c>
      <c r="V53" s="32">
        <v>4.2288379121441384</v>
      </c>
      <c r="W53" s="33">
        <v>1.8590000000000002</v>
      </c>
      <c r="X53" s="33">
        <v>-0.5937830000000055</v>
      </c>
    </row>
    <row r="54" spans="1:25" x14ac:dyDescent="0.15">
      <c r="A54" s="29" t="s">
        <v>15</v>
      </c>
      <c r="B54" s="30">
        <v>10.369495000000001</v>
      </c>
      <c r="C54" s="31">
        <v>4.3235722711817345E-2</v>
      </c>
      <c r="D54" s="31">
        <v>0.15701948558067036</v>
      </c>
      <c r="E54" s="31">
        <v>0.469991066232819</v>
      </c>
      <c r="F54" s="31">
        <v>9.0246377672209017E-3</v>
      </c>
      <c r="G54" s="31">
        <v>1.0161880650994574E-2</v>
      </c>
      <c r="H54" s="31">
        <v>3.2135055986218769E-2</v>
      </c>
      <c r="I54" s="31">
        <v>1.3928571428571434E-3</v>
      </c>
      <c r="J54" s="31">
        <v>3.3033936651583706E-3</v>
      </c>
      <c r="K54" s="31">
        <v>6.8346998148637933E-3</v>
      </c>
      <c r="L54" s="31">
        <v>1.2973126544057094E-2</v>
      </c>
      <c r="M54" s="31">
        <v>1.3999537705865353E-2</v>
      </c>
      <c r="N54" s="31">
        <v>9.1262897234832829E-3</v>
      </c>
      <c r="O54" s="31">
        <v>2.0434758155230597E-2</v>
      </c>
      <c r="P54" s="31">
        <v>2.0071556350626115E-3</v>
      </c>
      <c r="Q54" s="32">
        <v>13.945800798392526</v>
      </c>
      <c r="R54" s="32">
        <v>4.9156710783066089</v>
      </c>
      <c r="S54" s="32">
        <v>64.37249906117971</v>
      </c>
      <c r="T54" s="32">
        <v>1.0173233844103933</v>
      </c>
      <c r="U54" s="32">
        <v>3.4580940846540491</v>
      </c>
      <c r="V54" s="32">
        <v>4.2432455502418449</v>
      </c>
      <c r="W54" s="33">
        <v>1.8288</v>
      </c>
      <c r="X54" s="33">
        <v>-0.54506643999999937</v>
      </c>
    </row>
    <row r="55" spans="1:25" x14ac:dyDescent="0.15">
      <c r="A55" s="37" t="s">
        <v>16</v>
      </c>
      <c r="B55" s="38">
        <v>10.46167</v>
      </c>
      <c r="C55" s="39">
        <v>4.4863645826105039E-2</v>
      </c>
      <c r="D55" s="39">
        <v>0.13580670303975059</v>
      </c>
      <c r="E55" s="39">
        <v>0.44365989394225019</v>
      </c>
      <c r="F55" s="39">
        <v>1.0246852731591448E-2</v>
      </c>
      <c r="G55" s="39">
        <v>8.5387341772151879E-3</v>
      </c>
      <c r="H55" s="39">
        <v>3.8284496124031009E-2</v>
      </c>
      <c r="I55" s="39">
        <v>1.4250000000000009E-3</v>
      </c>
      <c r="J55" s="39">
        <v>3.5979638009049756E-3</v>
      </c>
      <c r="K55" s="39">
        <v>7.2092039143083833E-3</v>
      </c>
      <c r="L55" s="39">
        <v>1.2160952511666205E-2</v>
      </c>
      <c r="M55" s="39">
        <v>1.444680728113262E-2</v>
      </c>
      <c r="N55" s="39">
        <v>8.556500206355757E-3</v>
      </c>
      <c r="O55" s="39">
        <v>1.5172947131608543E-2</v>
      </c>
      <c r="P55" s="39">
        <v>1.2772808586762072E-3</v>
      </c>
      <c r="Q55" s="40">
        <v>13.790603868310926</v>
      </c>
      <c r="R55" s="40">
        <v>5.1856290828879263</v>
      </c>
      <c r="S55" s="40">
        <v>61.307956526597401</v>
      </c>
      <c r="T55" s="40">
        <v>2.4827960026648901</v>
      </c>
      <c r="U55" s="40">
        <v>3.9636993645279581</v>
      </c>
      <c r="V55" s="40">
        <v>4.4135079989903181</v>
      </c>
      <c r="W55" s="41">
        <v>1.5586666666666664</v>
      </c>
      <c r="X55" s="41">
        <v>-0.30741153999999682</v>
      </c>
      <c r="Y55" s="42" t="s">
        <v>486</v>
      </c>
    </row>
    <row r="56" spans="1:25" x14ac:dyDescent="0.15">
      <c r="A56" s="37" t="s">
        <v>17</v>
      </c>
      <c r="B56" s="38">
        <v>10.553844999999999</v>
      </c>
      <c r="C56" s="39">
        <v>4.6946429810561352E-2</v>
      </c>
      <c r="D56" s="39">
        <v>0.14175526110678102</v>
      </c>
      <c r="E56" s="39">
        <v>0.44347892368595754</v>
      </c>
      <c r="F56" s="39">
        <v>1.0740676959619954E-2</v>
      </c>
      <c r="G56" s="39">
        <v>1.063406871609403E-2</v>
      </c>
      <c r="H56" s="39">
        <v>4.3982601205857008E-2</v>
      </c>
      <c r="I56" s="39">
        <v>1.5535714285714298E-3</v>
      </c>
      <c r="J56" s="39">
        <v>3.7101809954751112E-3</v>
      </c>
      <c r="K56" s="39">
        <v>7.3683681565723351E-3</v>
      </c>
      <c r="L56" s="39">
        <v>1.195520175679385E-2</v>
      </c>
      <c r="M56" s="39">
        <v>1.4189627275353943E-2</v>
      </c>
      <c r="N56" s="39">
        <v>8.3923235658274857E-3</v>
      </c>
      <c r="O56" s="39">
        <v>1.6286557930258714E-2</v>
      </c>
      <c r="P56" s="39">
        <v>1.7182468694096598E-3</v>
      </c>
      <c r="Q56" s="40">
        <v>13.673280168757618</v>
      </c>
      <c r="R56" s="40">
        <v>5.6088381267498093</v>
      </c>
      <c r="S56" s="40">
        <v>62.152757714242483</v>
      </c>
      <c r="T56" s="40">
        <v>1.8110748834110597</v>
      </c>
      <c r="U56" s="40">
        <v>3.8031374554233901</v>
      </c>
      <c r="V56" s="40">
        <v>4.2845813713919263</v>
      </c>
      <c r="W56" s="41">
        <v>0.67133333333333323</v>
      </c>
      <c r="X56" s="41">
        <v>-0.87002313999999714</v>
      </c>
      <c r="Y56" s="42" t="s">
        <v>486</v>
      </c>
    </row>
    <row r="57" spans="1:25" x14ac:dyDescent="0.15">
      <c r="A57" s="37" t="s">
        <v>18</v>
      </c>
      <c r="B57" s="38">
        <v>10.64602</v>
      </c>
      <c r="C57" s="39">
        <v>4.9340434390396197E-2</v>
      </c>
      <c r="D57" s="39">
        <v>0.14085736554949338</v>
      </c>
      <c r="E57" s="39">
        <v>0.3765764820627987</v>
      </c>
      <c r="F57" s="39">
        <v>7.835344418052257E-3</v>
      </c>
      <c r="G57" s="39">
        <v>7.8260799678521193E-3</v>
      </c>
      <c r="H57" s="39">
        <v>4.3283031869078371E-2</v>
      </c>
      <c r="I57" s="39">
        <v>1.2857142857142865E-3</v>
      </c>
      <c r="J57" s="39">
        <v>3.3314479638009036E-3</v>
      </c>
      <c r="K57" s="39">
        <v>6.9657762496693979E-3</v>
      </c>
      <c r="L57" s="39">
        <v>1.0536604446884435E-2</v>
      </c>
      <c r="M57" s="39">
        <v>1.2959635943368965E-2</v>
      </c>
      <c r="N57" s="39">
        <v>1.1192983904250926E-2</v>
      </c>
      <c r="O57" s="39">
        <v>1.4996625421822271E-2</v>
      </c>
      <c r="P57" s="39">
        <v>5.2459749552772792E-4</v>
      </c>
      <c r="Q57" s="40">
        <v>13.729312072497054</v>
      </c>
      <c r="R57" s="40">
        <v>4.7892988037668625</v>
      </c>
      <c r="S57" s="40">
        <v>59.234111468187947</v>
      </c>
      <c r="T57" s="40">
        <v>5.4124690206528978</v>
      </c>
      <c r="U57" s="40">
        <v>3.6091187734414341</v>
      </c>
      <c r="V57" s="40">
        <v>4.0493838355584959</v>
      </c>
      <c r="W57" s="41">
        <v>-0.20366666666666669</v>
      </c>
      <c r="X57" s="41">
        <v>-2.112457090000003</v>
      </c>
      <c r="Y57" s="42" t="s">
        <v>486</v>
      </c>
    </row>
    <row r="58" spans="1:25" x14ac:dyDescent="0.15">
      <c r="A58" s="37" t="s">
        <v>19</v>
      </c>
      <c r="B58" s="38">
        <v>10.738195000000001</v>
      </c>
      <c r="C58" s="39">
        <v>4.7405030800821361E-2</v>
      </c>
      <c r="D58" s="39">
        <v>0.18430896903925939</v>
      </c>
      <c r="E58" s="39">
        <v>0.38678247073869609</v>
      </c>
      <c r="F58" s="39">
        <v>1.0172664543524418E-2</v>
      </c>
      <c r="G58" s="39">
        <v>8.6113387806411069E-3</v>
      </c>
      <c r="H58" s="39">
        <v>4.1887096774193548E-2</v>
      </c>
      <c r="I58" s="39">
        <v>1.4164648910411626E-3</v>
      </c>
      <c r="J58" s="39">
        <v>3.7185559006211177E-3</v>
      </c>
      <c r="K58" s="39">
        <v>7.2600803212851412E-3</v>
      </c>
      <c r="L58" s="39">
        <v>1.1872032026504699E-2</v>
      </c>
      <c r="M58" s="39">
        <v>1.3591868512110727E-2</v>
      </c>
      <c r="N58" s="39">
        <v>1.6783057684550219E-2</v>
      </c>
      <c r="O58" s="39">
        <v>1.6143559263915881E-2</v>
      </c>
      <c r="P58" s="39">
        <v>9.303739738522352E-5</v>
      </c>
      <c r="Q58" s="40">
        <v>13.648892545469392</v>
      </c>
      <c r="R58" s="40">
        <v>5.2165294557281872</v>
      </c>
      <c r="S58" s="40">
        <v>58.3270835193075</v>
      </c>
      <c r="T58" s="40">
        <v>4.5438451439508807</v>
      </c>
      <c r="U58" s="40">
        <v>3.8106343913060532</v>
      </c>
      <c r="V58" s="40">
        <v>4.2232022842442056</v>
      </c>
      <c r="W58" s="41">
        <v>0.29033333333333333</v>
      </c>
      <c r="X58" s="41">
        <v>-1.5798930142857159</v>
      </c>
      <c r="Y58" s="42" t="s">
        <v>486</v>
      </c>
    </row>
    <row r="59" spans="1:25" x14ac:dyDescent="0.15">
      <c r="A59" s="37" t="s">
        <v>20</v>
      </c>
      <c r="B59" s="38">
        <v>10.83037</v>
      </c>
      <c r="C59" s="39">
        <v>4.9376796714579063E-2</v>
      </c>
      <c r="D59" s="39">
        <v>0.22958187041174585</v>
      </c>
      <c r="E59" s="39">
        <v>0.37150151365527512</v>
      </c>
      <c r="F59" s="39">
        <v>1.0463312101910829E-2</v>
      </c>
      <c r="G59" s="39">
        <v>8.7489629164047775E-3</v>
      </c>
      <c r="H59" s="39">
        <v>4.4574193548387105E-2</v>
      </c>
      <c r="I59" s="39">
        <v>1.4164648910411626E-3</v>
      </c>
      <c r="J59" s="39">
        <v>3.7979813664596259E-3</v>
      </c>
      <c r="K59" s="39">
        <v>7.9519678714859449E-3</v>
      </c>
      <c r="L59" s="39">
        <v>1.2242352291551632E-2</v>
      </c>
      <c r="M59" s="39">
        <v>1.3915484429065742E-2</v>
      </c>
      <c r="N59" s="39">
        <v>9.4770471964501814E-3</v>
      </c>
      <c r="O59" s="39">
        <v>1.3871013830152016E-2</v>
      </c>
      <c r="P59" s="39">
        <v>4.1866828823350577E-4</v>
      </c>
      <c r="Q59" s="40">
        <v>13.64032196725813</v>
      </c>
      <c r="R59" s="40">
        <v>5.2980839877756072</v>
      </c>
      <c r="S59" s="40">
        <v>56.097618342206076</v>
      </c>
      <c r="T59" s="40">
        <v>4.5269354574910601</v>
      </c>
      <c r="U59" s="40">
        <v>3.8220317784142184</v>
      </c>
      <c r="V59" s="40">
        <v>4.3178974384183997</v>
      </c>
      <c r="W59" s="41">
        <v>1.4333333333333333E-2</v>
      </c>
      <c r="X59" s="41">
        <v>-1.6635918828571441</v>
      </c>
      <c r="Y59" s="42" t="s">
        <v>486</v>
      </c>
    </row>
    <row r="60" spans="1:25" x14ac:dyDescent="0.15">
      <c r="A60" s="37" t="s">
        <v>21</v>
      </c>
      <c r="B60" s="38">
        <v>10.922545</v>
      </c>
      <c r="C60" s="39">
        <v>4.901078028747434E-2</v>
      </c>
      <c r="D60" s="39">
        <v>0.19878710501117131</v>
      </c>
      <c r="E60" s="39">
        <v>0.41824917841705639</v>
      </c>
      <c r="F60" s="39">
        <v>9.8176751592356677E-3</v>
      </c>
      <c r="G60" s="39">
        <v>8.3164299182903814E-3</v>
      </c>
      <c r="H60" s="39">
        <v>3.9301612903225813E-2</v>
      </c>
      <c r="I60" s="39">
        <v>1.3075060532687656E-3</v>
      </c>
      <c r="J60" s="39">
        <v>3.4802795031055891E-3</v>
      </c>
      <c r="K60" s="39">
        <v>7.2695582329317275E-3</v>
      </c>
      <c r="L60" s="39">
        <v>1.1011581998895643E-2</v>
      </c>
      <c r="M60" s="39">
        <v>1.3045069204152252E-2</v>
      </c>
      <c r="N60" s="39">
        <v>1.0175554659136747E-2</v>
      </c>
      <c r="O60" s="39">
        <v>1.8038918733569557E-2</v>
      </c>
      <c r="P60" s="39">
        <v>7.1328671328671359E-4</v>
      </c>
      <c r="Q60" s="40">
        <v>13.453018073517644</v>
      </c>
      <c r="R60" s="40">
        <v>4.8084146822556528</v>
      </c>
      <c r="S60" s="40">
        <v>60.536740794036163</v>
      </c>
      <c r="T60" s="40">
        <v>3.9366383170588319</v>
      </c>
      <c r="U60" s="40">
        <v>3.5582116206991259</v>
      </c>
      <c r="V60" s="40">
        <v>3.9985864395531481</v>
      </c>
      <c r="W60" s="41">
        <v>0.46044444444444443</v>
      </c>
      <c r="X60" s="41">
        <v>-2.1029185600000027</v>
      </c>
      <c r="Y60" s="42" t="s">
        <v>486</v>
      </c>
    </row>
    <row r="61" spans="1:25" x14ac:dyDescent="0.15">
      <c r="A61" s="37" t="s">
        <v>22</v>
      </c>
      <c r="B61" s="38">
        <v>11.014720000000001</v>
      </c>
      <c r="C61" s="39">
        <v>4.5905544147843938E-2</v>
      </c>
      <c r="D61" s="39">
        <v>0.16201723587615699</v>
      </c>
      <c r="E61" s="39">
        <v>0.41538958410904792</v>
      </c>
      <c r="F61" s="39">
        <v>1.1222101910828028E-2</v>
      </c>
      <c r="G61" s="39">
        <v>1.084281583909491E-2</v>
      </c>
      <c r="H61" s="39">
        <v>4.1096774193548395E-2</v>
      </c>
      <c r="I61" s="39">
        <v>1.5254237288135602E-3</v>
      </c>
      <c r="J61" s="39">
        <v>3.8413043478260868E-3</v>
      </c>
      <c r="K61" s="39">
        <v>7.0894779116465884E-3</v>
      </c>
      <c r="L61" s="39">
        <v>1.2253244064053013E-2</v>
      </c>
      <c r="M61" s="39">
        <v>1.4930968858131489E-2</v>
      </c>
      <c r="N61" s="39">
        <v>8.2971359419120577E-3</v>
      </c>
      <c r="O61" s="39">
        <v>1.530432049377072E-2</v>
      </c>
      <c r="P61" s="39">
        <v>1.1350562480997269E-3</v>
      </c>
      <c r="Q61" s="40">
        <v>14.145291169976044</v>
      </c>
      <c r="R61" s="40">
        <v>5.6833561236820982</v>
      </c>
      <c r="S61" s="40">
        <v>59.159736500902483</v>
      </c>
      <c r="T61" s="40">
        <v>2.3594322416376765</v>
      </c>
      <c r="U61" s="40">
        <v>3.8934425830750512</v>
      </c>
      <c r="V61" s="40">
        <v>4.5680836272618173</v>
      </c>
      <c r="W61" s="41">
        <v>0.67822222222222217</v>
      </c>
      <c r="X61" s="41">
        <v>-1.2834672200000021</v>
      </c>
      <c r="Y61" s="42" t="s">
        <v>486</v>
      </c>
    </row>
    <row r="62" spans="1:25" x14ac:dyDescent="0.15">
      <c r="A62" s="37" t="s">
        <v>23</v>
      </c>
      <c r="B62" s="38">
        <v>11.106895</v>
      </c>
      <c r="C62" s="39">
        <v>4.8491273100616017E-2</v>
      </c>
      <c r="D62" s="39">
        <v>0.1893648260453239</v>
      </c>
      <c r="E62" s="39">
        <v>0.40407408006993567</v>
      </c>
      <c r="F62" s="39">
        <v>9.2352707006369446E-3</v>
      </c>
      <c r="G62" s="39">
        <v>9.424795725958517E-3</v>
      </c>
      <c r="H62" s="39">
        <v>5.0625806451612909E-2</v>
      </c>
      <c r="I62" s="39">
        <v>1.296610169491526E-3</v>
      </c>
      <c r="J62" s="39">
        <v>3.5669254658385087E-3</v>
      </c>
      <c r="K62" s="39">
        <v>6.5302811244979924E-3</v>
      </c>
      <c r="L62" s="39">
        <v>1.0793746548868033E-2</v>
      </c>
      <c r="M62" s="39">
        <v>1.2464792387543253E-2</v>
      </c>
      <c r="N62" s="39">
        <v>1.0184993949173052E-2</v>
      </c>
      <c r="O62" s="39">
        <v>1.7925762944336496E-2</v>
      </c>
      <c r="P62" s="39">
        <v>9.0711462450592916E-4</v>
      </c>
      <c r="Q62" s="40">
        <v>13.220303207797601</v>
      </c>
      <c r="R62" s="40">
        <v>4.6226340372124914</v>
      </c>
      <c r="S62" s="40">
        <v>62.084554102997501</v>
      </c>
      <c r="T62" s="40">
        <v>3.8635263876794137</v>
      </c>
      <c r="U62" s="40">
        <v>3.3048879908980342</v>
      </c>
      <c r="V62" s="40">
        <v>3.8619813852122244</v>
      </c>
      <c r="W62" s="41">
        <v>0.43588888888888888</v>
      </c>
      <c r="X62" s="41">
        <v>-2.6520576600000005</v>
      </c>
      <c r="Y62" s="42" t="s">
        <v>486</v>
      </c>
    </row>
    <row r="63" spans="1:25" x14ac:dyDescent="0.15">
      <c r="A63" s="37" t="s">
        <v>24</v>
      </c>
      <c r="B63" s="38">
        <v>11.199070000000001</v>
      </c>
      <c r="C63" s="39">
        <v>2.4416837782340866E-2</v>
      </c>
      <c r="D63" s="39">
        <v>4.11362910947973E-2</v>
      </c>
      <c r="E63" s="39">
        <v>0.2102472033802269</v>
      </c>
      <c r="F63" s="39">
        <v>4.7424363057324854E-3</v>
      </c>
      <c r="G63" s="39">
        <v>5.1117536140791956E-3</v>
      </c>
      <c r="H63" s="39">
        <v>2.6419354838709688E-2</v>
      </c>
      <c r="I63" s="39">
        <v>8.0629539951573902E-4</v>
      </c>
      <c r="J63" s="39">
        <v>3.3791925465838498E-3</v>
      </c>
      <c r="K63" s="39">
        <v>9.6011244979919697E-3</v>
      </c>
      <c r="L63" s="39">
        <v>1.0826421866372176E-2</v>
      </c>
      <c r="M63" s="39">
        <v>9.1616782006920423E-3</v>
      </c>
      <c r="N63" s="39">
        <v>6.3054457442517139E-3</v>
      </c>
      <c r="O63" s="39">
        <v>1.0664933135215455E-2</v>
      </c>
      <c r="P63" s="39">
        <v>2.7911219215567053E-4</v>
      </c>
      <c r="Q63" s="40">
        <v>11.703260508479586</v>
      </c>
      <c r="R63" s="40">
        <v>3.1100593159399823</v>
      </c>
      <c r="S63" s="40">
        <v>52.373470484515458</v>
      </c>
      <c r="T63" s="40">
        <v>2.2893632389279608</v>
      </c>
      <c r="U63" s="40">
        <v>2.0708930911373531</v>
      </c>
      <c r="V63" s="40">
        <v>2.0241739073439113</v>
      </c>
      <c r="W63" s="41">
        <v>0.81933333333333325</v>
      </c>
      <c r="X63" s="41">
        <v>-2.1468004171428561</v>
      </c>
      <c r="Y63" s="42" t="s">
        <v>486</v>
      </c>
    </row>
    <row r="64" spans="1:25" x14ac:dyDescent="0.15">
      <c r="A64" s="37" t="s">
        <v>25</v>
      </c>
      <c r="B64" s="38">
        <v>11.291245</v>
      </c>
      <c r="C64" s="39">
        <v>5.3993326488706368E-2</v>
      </c>
      <c r="D64" s="39">
        <v>0.1298436003830194</v>
      </c>
      <c r="E64" s="39">
        <v>0.39399847825031159</v>
      </c>
      <c r="F64" s="39">
        <v>7.9373407643312122E-3</v>
      </c>
      <c r="G64" s="39">
        <v>8.073130106851038E-3</v>
      </c>
      <c r="H64" s="39">
        <v>4.8559677419354852E-2</v>
      </c>
      <c r="I64" s="39">
        <v>1.2966101694915255E-3</v>
      </c>
      <c r="J64" s="39">
        <v>3.3358695652173907E-3</v>
      </c>
      <c r="K64" s="39">
        <v>6.5871485943775109E-3</v>
      </c>
      <c r="L64" s="39">
        <v>1.0303616786305913E-2</v>
      </c>
      <c r="M64" s="39">
        <v>1.2766089965397924E-2</v>
      </c>
      <c r="N64" s="39">
        <v>1.1553691004437271E-2</v>
      </c>
      <c r="O64" s="39">
        <v>1.6152988913018633E-2</v>
      </c>
      <c r="P64" s="39">
        <v>3.7214958954089397E-4</v>
      </c>
      <c r="Q64" s="40">
        <v>13.624349068265097</v>
      </c>
      <c r="R64" s="40">
        <v>4.8092173325387915</v>
      </c>
      <c r="S64" s="40">
        <v>61.056018119945826</v>
      </c>
      <c r="T64" s="40">
        <v>5.0789203131423433</v>
      </c>
      <c r="U64" s="40">
        <v>3.3106777825728746</v>
      </c>
      <c r="V64" s="40">
        <v>3.9464271815228575</v>
      </c>
      <c r="W64" s="41">
        <v>-0.38577777777777783</v>
      </c>
      <c r="X64" s="41">
        <v>-2.5499361100000009</v>
      </c>
      <c r="Y64" s="42" t="s">
        <v>486</v>
      </c>
    </row>
    <row r="65" spans="1:25" x14ac:dyDescent="0.15">
      <c r="A65" s="37" t="s">
        <v>26</v>
      </c>
      <c r="B65" s="38">
        <v>11.383420000000001</v>
      </c>
      <c r="C65" s="39">
        <v>4.7317666410023093E-2</v>
      </c>
      <c r="D65" s="39">
        <v>0.15777351247600763</v>
      </c>
      <c r="E65" s="39">
        <v>0.40706630686198914</v>
      </c>
      <c r="F65" s="39">
        <v>9.0428820453224874E-3</v>
      </c>
      <c r="G65" s="39">
        <v>9.3071618037135258E-3</v>
      </c>
      <c r="H65" s="39">
        <v>3.9127666571927414E-2</v>
      </c>
      <c r="I65" s="39">
        <v>1.4824766355140198E-3</v>
      </c>
      <c r="J65" s="39">
        <v>3.9604282315622505E-3</v>
      </c>
      <c r="K65" s="39">
        <v>8.3102523659305972E-3</v>
      </c>
      <c r="L65" s="39">
        <v>1.2398725852856554E-2</v>
      </c>
      <c r="M65" s="39">
        <v>1.4260854402789892E-2</v>
      </c>
      <c r="N65" s="39">
        <v>9.0305590062111796E-3</v>
      </c>
      <c r="O65" s="39">
        <v>1.65111750761937E-2</v>
      </c>
      <c r="P65" s="39">
        <v>1.3853023255813951E-3</v>
      </c>
      <c r="Q65" s="40">
        <v>14.152561933095424</v>
      </c>
      <c r="R65" s="40">
        <v>5.5468865959832483</v>
      </c>
      <c r="S65" s="40">
        <v>58.96106622843584</v>
      </c>
      <c r="T65" s="40">
        <v>3.4556341728209752</v>
      </c>
      <c r="U65" s="40">
        <v>3.794617381489843</v>
      </c>
      <c r="V65" s="40">
        <v>4.4650756345611491</v>
      </c>
      <c r="W65" s="41">
        <v>0.38133333333333336</v>
      </c>
      <c r="X65" s="41">
        <v>-1.619363589999999</v>
      </c>
      <c r="Y65" s="42" t="s">
        <v>486</v>
      </c>
    </row>
    <row r="66" spans="1:25" x14ac:dyDescent="0.15">
      <c r="A66" s="29" t="s">
        <v>27</v>
      </c>
      <c r="B66" s="30">
        <v>11.475595</v>
      </c>
      <c r="C66" s="31">
        <v>4.6979596836284734E-2</v>
      </c>
      <c r="D66" s="31">
        <v>0.14971209213051817</v>
      </c>
      <c r="E66" s="31">
        <v>0.44788598689282944</v>
      </c>
      <c r="F66" s="31">
        <v>9.0658919233004079E-3</v>
      </c>
      <c r="G66" s="31">
        <v>9.2891246684350132E-3</v>
      </c>
      <c r="H66" s="31">
        <v>3.6480433635145575E-2</v>
      </c>
      <c r="I66" s="31">
        <v>1.545560747663552E-3</v>
      </c>
      <c r="J66" s="31">
        <v>4.0710547184773975E-3</v>
      </c>
      <c r="K66" s="31">
        <v>7.072555205047318E-3</v>
      </c>
      <c r="L66" s="31">
        <v>1.2658158651870118E-2</v>
      </c>
      <c r="M66" s="31">
        <v>1.5048125544899739E-2</v>
      </c>
      <c r="N66" s="31">
        <v>8.6236024844720486E-3</v>
      </c>
      <c r="O66" s="31">
        <v>1.5868608195055874E-2</v>
      </c>
      <c r="P66" s="31">
        <v>1.4503654485049828E-3</v>
      </c>
      <c r="Q66" s="32">
        <v>14.031965176235298</v>
      </c>
      <c r="R66" s="32">
        <v>5.5926903917818169</v>
      </c>
      <c r="S66" s="32">
        <v>61.61778349545903</v>
      </c>
      <c r="T66" s="32">
        <v>1.9871137530324772</v>
      </c>
      <c r="U66" s="32">
        <v>3.8813769751693017</v>
      </c>
      <c r="V66" s="32">
        <v>4.4756371250320486</v>
      </c>
      <c r="W66" s="33">
        <v>1.9242857142857144</v>
      </c>
      <c r="X66" s="33">
        <v>5.0156308571427388E-2</v>
      </c>
    </row>
    <row r="67" spans="1:25" x14ac:dyDescent="0.15">
      <c r="A67" s="29" t="s">
        <v>28</v>
      </c>
      <c r="B67" s="30">
        <v>11.567770000000001</v>
      </c>
      <c r="C67" s="31">
        <v>4.4492370686638208E-2</v>
      </c>
      <c r="D67" s="31">
        <v>0.17021113243761996</v>
      </c>
      <c r="E67" s="31">
        <v>0.44094786044718576</v>
      </c>
      <c r="F67" s="31">
        <v>1.0830749564206857E-2</v>
      </c>
      <c r="G67" s="31">
        <v>8.6037135278514577E-3</v>
      </c>
      <c r="H67" s="31">
        <v>3.5162402046368099E-2</v>
      </c>
      <c r="I67" s="31">
        <v>1.5350467289719633E-3</v>
      </c>
      <c r="J67" s="31">
        <v>3.9604282315622505E-3</v>
      </c>
      <c r="K67" s="31">
        <v>8.0310725552050471E-3</v>
      </c>
      <c r="L67" s="31">
        <v>1.2171722153719686E-2</v>
      </c>
      <c r="M67" s="31">
        <v>1.5025632083696601E-2</v>
      </c>
      <c r="N67" s="31">
        <v>8.3232298136645955E-3</v>
      </c>
      <c r="O67" s="31">
        <v>1.5198103623433795E-2</v>
      </c>
      <c r="P67" s="31">
        <v>1.5813953488372087E-3</v>
      </c>
      <c r="Q67" s="32">
        <v>14.036589653465493</v>
      </c>
      <c r="R67" s="32">
        <v>5.6219792731589902</v>
      </c>
      <c r="S67" s="32">
        <v>61.145182620636561</v>
      </c>
      <c r="T67" s="32">
        <v>1.8258357570802461</v>
      </c>
      <c r="U67" s="32">
        <v>3.8742155756207679</v>
      </c>
      <c r="V67" s="32">
        <v>4.4570965444548909</v>
      </c>
      <c r="W67" s="33">
        <v>1.8698888888888889</v>
      </c>
      <c r="X67" s="33">
        <v>7.8425462857143913E-2</v>
      </c>
    </row>
    <row r="68" spans="1:25" x14ac:dyDescent="0.15">
      <c r="A68" s="29" t="s">
        <v>29</v>
      </c>
      <c r="B68" s="30">
        <v>11.659945</v>
      </c>
      <c r="C68" s="31">
        <v>4.9152901238888505E-2</v>
      </c>
      <c r="D68" s="31">
        <v>0.13232245681381957</v>
      </c>
      <c r="E68" s="31">
        <v>0.35831100616808009</v>
      </c>
      <c r="F68" s="31">
        <v>8.5941894247530508E-3</v>
      </c>
      <c r="G68" s="31">
        <v>7.0087154225085251E-3</v>
      </c>
      <c r="H68" s="31">
        <v>3.7731446668561451E-2</v>
      </c>
      <c r="I68" s="31">
        <v>1.1775700934579445E-3</v>
      </c>
      <c r="J68" s="31">
        <v>3.4810467882632826E-3</v>
      </c>
      <c r="K68" s="31">
        <v>7.7053627760252374E-3</v>
      </c>
      <c r="L68" s="31">
        <v>1.1674475955610355E-2</v>
      </c>
      <c r="M68" s="31">
        <v>1.2281429816913688E-2</v>
      </c>
      <c r="N68" s="31">
        <v>1.3313291925465837E-2</v>
      </c>
      <c r="O68" s="31">
        <v>1.6259735861835423E-2</v>
      </c>
      <c r="P68" s="31">
        <v>4.5069767441860458E-4</v>
      </c>
      <c r="Q68" s="32">
        <v>12.628696588836752</v>
      </c>
      <c r="R68" s="32">
        <v>4.4231164050390808</v>
      </c>
      <c r="S68" s="32">
        <v>57.359163711203045</v>
      </c>
      <c r="T68" s="32">
        <v>7.8030602206168203</v>
      </c>
      <c r="U68" s="32">
        <v>4.0249909706546276</v>
      </c>
      <c r="V68" s="32">
        <v>4.0609036264706733</v>
      </c>
      <c r="W68" s="33">
        <v>1.5311111111111111</v>
      </c>
      <c r="X68" s="33">
        <v>-1.5661741600000063</v>
      </c>
    </row>
    <row r="69" spans="1:25" x14ac:dyDescent="0.15">
      <c r="A69" s="29" t="s">
        <v>30</v>
      </c>
      <c r="B69" s="30">
        <v>11.752120000000001</v>
      </c>
      <c r="C69" s="31">
        <v>5.1941975222230007E-2</v>
      </c>
      <c r="D69" s="31">
        <v>0.15938579654510551</v>
      </c>
      <c r="E69" s="31">
        <v>0.34586449498843469</v>
      </c>
      <c r="F69" s="31">
        <v>6.9719930273097041E-3</v>
      </c>
      <c r="G69" s="31">
        <v>7.4583554376657837E-3</v>
      </c>
      <c r="H69" s="31">
        <v>3.8334613666815551E-2</v>
      </c>
      <c r="I69" s="31">
        <v>1.1880841121495334E-3</v>
      </c>
      <c r="J69" s="31">
        <v>3.5621728786677234E-3</v>
      </c>
      <c r="K69" s="31">
        <v>7.7146687697160852E-3</v>
      </c>
      <c r="L69" s="31">
        <v>1.1425852856555693E-2</v>
      </c>
      <c r="M69" s="31">
        <v>1.1831560592850917E-2</v>
      </c>
      <c r="N69" s="31">
        <v>1.3914037267080745E-2</v>
      </c>
      <c r="O69" s="31">
        <v>1.411784625804267E-2</v>
      </c>
      <c r="P69" s="31">
        <v>3.0362790697674414E-4</v>
      </c>
      <c r="Q69" s="32">
        <v>12.346963826670001</v>
      </c>
      <c r="R69" s="32">
        <v>4.4355384361705648</v>
      </c>
      <c r="S69" s="32">
        <v>55.471626762882835</v>
      </c>
      <c r="T69" s="32">
        <v>8.7670231473414795</v>
      </c>
      <c r="U69" s="32">
        <v>4.0543374717832972</v>
      </c>
      <c r="V69" s="32">
        <v>3.9800376036236225</v>
      </c>
      <c r="W69" s="33">
        <v>1.6508888888888889</v>
      </c>
      <c r="X69" s="33">
        <v>-1.1695437600000034</v>
      </c>
    </row>
    <row r="70" spans="1:25" x14ac:dyDescent="0.15">
      <c r="A70" s="29" t="s">
        <v>31</v>
      </c>
      <c r="B70" s="30">
        <v>11.844295000000001</v>
      </c>
      <c r="C70" s="31">
        <v>5.2292118709316153E-2</v>
      </c>
      <c r="D70" s="31">
        <v>0.25439539347408818</v>
      </c>
      <c r="E70" s="31">
        <v>0.32302187740940624</v>
      </c>
      <c r="F70" s="31">
        <v>8.4446252178965731E-3</v>
      </c>
      <c r="G70" s="31">
        <v>6.8450928381962855E-3</v>
      </c>
      <c r="H70" s="31">
        <v>4.3394514596613754E-2</v>
      </c>
      <c r="I70" s="31">
        <v>1.2196261682242996E-3</v>
      </c>
      <c r="J70" s="31">
        <v>3.5252973830293419E-3</v>
      </c>
      <c r="K70" s="31">
        <v>7.8821766561514208E-3</v>
      </c>
      <c r="L70" s="31">
        <v>1.1998766954377313E-2</v>
      </c>
      <c r="M70" s="31">
        <v>1.2022755013077592E-2</v>
      </c>
      <c r="N70" s="31">
        <v>1.397217391304348E-2</v>
      </c>
      <c r="O70" s="31">
        <v>1.2618523535387742E-2</v>
      </c>
      <c r="P70" s="31">
        <v>6.3255813953488362E-4</v>
      </c>
      <c r="Q70" s="32">
        <v>12.242742924244068</v>
      </c>
      <c r="R70" s="32">
        <v>4.4346651139399151</v>
      </c>
      <c r="S70" s="32">
        <v>54.828086070200989</v>
      </c>
      <c r="T70" s="32">
        <v>8.3514384323607143</v>
      </c>
      <c r="U70" s="32">
        <v>4.1146354401805878</v>
      </c>
      <c r="V70" s="32">
        <v>3.9673153291741454</v>
      </c>
      <c r="W70" s="33">
        <v>1.6880000000000002</v>
      </c>
      <c r="X70" s="33">
        <v>-1.5319463114285696</v>
      </c>
    </row>
    <row r="71" spans="1:25" x14ac:dyDescent="0.15">
      <c r="A71" s="29" t="s">
        <v>32</v>
      </c>
      <c r="B71" s="30">
        <v>11.93647</v>
      </c>
      <c r="C71" s="31">
        <v>4.4540666340029393E-2</v>
      </c>
      <c r="D71" s="31">
        <v>0.16353166986564294</v>
      </c>
      <c r="E71" s="31">
        <v>0.36424055512721654</v>
      </c>
      <c r="F71" s="31">
        <v>8.2628471818710063E-3</v>
      </c>
      <c r="G71" s="31">
        <v>6.7639257294429701E-3</v>
      </c>
      <c r="H71" s="31">
        <v>3.9976568273173904E-2</v>
      </c>
      <c r="I71" s="31">
        <v>1.2616822429906548E-3</v>
      </c>
      <c r="J71" s="31">
        <v>3.5105471847739884E-3</v>
      </c>
      <c r="K71" s="31">
        <v>8.1427444794952685E-3</v>
      </c>
      <c r="L71" s="31">
        <v>1.0809699958898475E-2</v>
      </c>
      <c r="M71" s="31">
        <v>1.3361115954664344E-2</v>
      </c>
      <c r="N71" s="31">
        <v>9.4181366459627335E-3</v>
      </c>
      <c r="O71" s="31">
        <v>1.4751100575685743E-2</v>
      </c>
      <c r="P71" s="31">
        <v>8.9461794019933538E-4</v>
      </c>
      <c r="Q71" s="32">
        <v>13.312959063849876</v>
      </c>
      <c r="R71" s="32">
        <v>4.6160945486924128</v>
      </c>
      <c r="S71" s="32">
        <v>59.450345217990673</v>
      </c>
      <c r="T71" s="32">
        <v>3.6562125212775958</v>
      </c>
      <c r="U71" s="32">
        <v>3.9193679458239279</v>
      </c>
      <c r="V71" s="32">
        <v>4.6528530325043453</v>
      </c>
      <c r="W71" s="33">
        <v>1.8768888888888893</v>
      </c>
      <c r="X71" s="33">
        <v>-1.035434645714286</v>
      </c>
    </row>
    <row r="72" spans="1:25" x14ac:dyDescent="0.15">
      <c r="A72" s="29" t="s">
        <v>33</v>
      </c>
      <c r="B72" s="30">
        <v>12.028645000000001</v>
      </c>
      <c r="C72" s="31">
        <v>4.4977724823870704E-2</v>
      </c>
      <c r="D72" s="31">
        <v>0.17698324022346373</v>
      </c>
      <c r="E72" s="31">
        <v>0.38958862221089685</v>
      </c>
      <c r="F72" s="31">
        <v>7.9887561411344371E-3</v>
      </c>
      <c r="G72" s="31">
        <v>7.6860849056603767E-3</v>
      </c>
      <c r="H72" s="31">
        <v>3.385880765456329E-2</v>
      </c>
      <c r="I72" s="31">
        <v>1.3415492957746487E-3</v>
      </c>
      <c r="J72" s="31">
        <v>3.385781249999999E-3</v>
      </c>
      <c r="K72" s="31">
        <v>7.5119614664169131E-3</v>
      </c>
      <c r="L72" s="31">
        <v>1.1323911257189808E-2</v>
      </c>
      <c r="M72" s="31">
        <v>1.3493489583333334E-2</v>
      </c>
      <c r="N72" s="31">
        <v>8.7076363636363636E-3</v>
      </c>
      <c r="O72" s="31">
        <v>1.7696629213483146E-2</v>
      </c>
      <c r="P72" s="31">
        <v>7.5485661424606865E-4</v>
      </c>
      <c r="Q72" s="32">
        <v>13.160173913607702</v>
      </c>
      <c r="R72" s="32">
        <v>4.856278267916581</v>
      </c>
      <c r="S72" s="32">
        <v>62.509561684869006</v>
      </c>
      <c r="T72" s="32">
        <v>2.8108995101677299</v>
      </c>
      <c r="U72" s="32">
        <v>3.7722955211649389</v>
      </c>
      <c r="V72" s="32">
        <v>4.5451309116280187</v>
      </c>
      <c r="W72" s="33">
        <v>2.033666666666667</v>
      </c>
      <c r="X72" s="33">
        <v>-0.66587434750000085</v>
      </c>
    </row>
    <row r="73" spans="1:25" x14ac:dyDescent="0.15">
      <c r="A73" s="29" t="s">
        <v>34</v>
      </c>
      <c r="B73" s="30">
        <v>12.120820000000002</v>
      </c>
      <c r="C73" s="31">
        <v>4.6312163282221319E-2</v>
      </c>
      <c r="D73" s="31">
        <v>0.16652513966480451</v>
      </c>
      <c r="E73" s="31">
        <v>0.40830320597556902</v>
      </c>
      <c r="F73" s="31">
        <v>8.244104510942386E-3</v>
      </c>
      <c r="G73" s="31">
        <v>8.2850943396226406E-3</v>
      </c>
      <c r="H73" s="31">
        <v>3.4544982826300294E-2</v>
      </c>
      <c r="I73" s="31">
        <v>1.2992957746478882E-3</v>
      </c>
      <c r="J73" s="31">
        <v>3.5165624999999989E-3</v>
      </c>
      <c r="K73" s="31">
        <v>6.9625367942199624E-3</v>
      </c>
      <c r="L73" s="31">
        <v>1.119424815119145E-2</v>
      </c>
      <c r="M73" s="31">
        <v>1.3560677083333335E-2</v>
      </c>
      <c r="N73" s="31">
        <v>8.972363636363636E-3</v>
      </c>
      <c r="O73" s="31">
        <v>1.6179775280898881E-2</v>
      </c>
      <c r="P73" s="31">
        <v>1.0379278445883443E-3</v>
      </c>
      <c r="Q73" s="32">
        <v>13.429481660684292</v>
      </c>
      <c r="R73" s="32">
        <v>4.7360264699813799</v>
      </c>
      <c r="S73" s="32">
        <v>61.646811031571794</v>
      </c>
      <c r="T73" s="32">
        <v>2.7379070803028052</v>
      </c>
      <c r="U73" s="32">
        <v>3.9301555457496775</v>
      </c>
      <c r="V73" s="32">
        <v>4.6239228606750986</v>
      </c>
      <c r="W73" s="33">
        <v>1.758111111111111</v>
      </c>
      <c r="X73" s="33">
        <v>-0.50755900000000054</v>
      </c>
    </row>
    <row r="74" spans="1:25" x14ac:dyDescent="0.15">
      <c r="A74" s="29" t="s">
        <v>35</v>
      </c>
      <c r="B74" s="30">
        <v>12.212995000000001</v>
      </c>
      <c r="C74" s="31">
        <v>4.5132615002072121E-2</v>
      </c>
      <c r="D74" s="31">
        <v>0.13250758180367125</v>
      </c>
      <c r="E74" s="31">
        <v>0.39861074392011342</v>
      </c>
      <c r="F74" s="31">
        <v>8.2823199132265688E-3</v>
      </c>
      <c r="G74" s="31">
        <v>8.5737735849056584E-3</v>
      </c>
      <c r="H74" s="31">
        <v>3.3105139842983314E-2</v>
      </c>
      <c r="I74" s="31">
        <v>1.2676056338028177E-3</v>
      </c>
      <c r="J74" s="31">
        <v>3.385781249999999E-3</v>
      </c>
      <c r="K74" s="31">
        <v>7.0951565426812949E-3</v>
      </c>
      <c r="L74" s="31">
        <v>1.0924116680361544E-2</v>
      </c>
      <c r="M74" s="31">
        <v>1.3538281249999999E-2</v>
      </c>
      <c r="N74" s="31">
        <v>9.284363636363634E-3</v>
      </c>
      <c r="O74" s="31">
        <v>1.6853932584269662E-2</v>
      </c>
      <c r="P74" s="31">
        <v>1.1794634597594822E-3</v>
      </c>
      <c r="Q74" s="32">
        <v>13.324282694962152</v>
      </c>
      <c r="R74" s="32">
        <v>4.6499545326860003</v>
      </c>
      <c r="S74" s="32">
        <v>61.686655394466925</v>
      </c>
      <c r="T74" s="32">
        <v>3.0675834941368558</v>
      </c>
      <c r="U74" s="32">
        <v>3.9408286317647439</v>
      </c>
      <c r="V74" s="32">
        <v>4.4770650661596392</v>
      </c>
      <c r="W74" s="33">
        <v>2.0595714285714282</v>
      </c>
      <c r="X74" s="33">
        <v>-0.87513191200000406</v>
      </c>
    </row>
    <row r="75" spans="1:25" x14ac:dyDescent="0.15">
      <c r="A75" s="29" t="s">
        <v>36</v>
      </c>
      <c r="B75" s="30">
        <v>12.30517</v>
      </c>
      <c r="C75" s="31">
        <v>4.7956382096974719E-2</v>
      </c>
      <c r="D75" s="31">
        <v>0.1315881883479649</v>
      </c>
      <c r="E75" s="31">
        <v>0.36444536463393273</v>
      </c>
      <c r="F75" s="31">
        <v>8.0617128182224208E-3</v>
      </c>
      <c r="G75" s="31">
        <v>7.8584905660377367E-3</v>
      </c>
      <c r="H75" s="31">
        <v>3.7402171246319914E-2</v>
      </c>
      <c r="I75" s="31">
        <v>1.2676056338028177E-3</v>
      </c>
      <c r="J75" s="31">
        <v>3.5092968749999985E-3</v>
      </c>
      <c r="K75" s="31">
        <v>8.3171527963607165E-3</v>
      </c>
      <c r="L75" s="31">
        <v>1.1799342645850449E-2</v>
      </c>
      <c r="M75" s="31">
        <v>1.2922395833333334E-2</v>
      </c>
      <c r="N75" s="31">
        <v>1.1042909090909089E-2</v>
      </c>
      <c r="O75" s="31">
        <v>1.6554307116104866E-2</v>
      </c>
      <c r="P75" s="31">
        <v>1.1165587419056432E-3</v>
      </c>
      <c r="Q75" s="32">
        <v>12.859495084534821</v>
      </c>
      <c r="R75" s="32">
        <v>4.5682451456371007</v>
      </c>
      <c r="S75" s="32">
        <v>59.537790056138569</v>
      </c>
      <c r="T75" s="32">
        <v>3.9470046014546534</v>
      </c>
      <c r="U75" s="32">
        <v>4.0697188514514453</v>
      </c>
      <c r="V75" s="32">
        <v>4.2868907213298009</v>
      </c>
      <c r="W75" s="33">
        <v>1.9064444444444446</v>
      </c>
      <c r="X75" s="33">
        <v>-0.67909087000000312</v>
      </c>
    </row>
    <row r="76" spans="1:25" x14ac:dyDescent="0.15">
      <c r="A76" s="29" t="s">
        <v>37</v>
      </c>
      <c r="B76" s="30">
        <v>12.397345000000001</v>
      </c>
      <c r="C76" s="31">
        <v>4.8170845420638223E-2</v>
      </c>
      <c r="D76" s="31">
        <v>0.12388826815642465</v>
      </c>
      <c r="E76" s="31">
        <v>0.36611572090652827</v>
      </c>
      <c r="F76" s="31">
        <v>7.1659669495310416E-3</v>
      </c>
      <c r="G76" s="31">
        <v>8.1380053908355777E-3</v>
      </c>
      <c r="H76" s="31">
        <v>3.8245829244357217E-2</v>
      </c>
      <c r="I76" s="31">
        <v>1.2676056338028177E-3</v>
      </c>
      <c r="J76" s="31">
        <v>3.5746874999999997E-3</v>
      </c>
      <c r="K76" s="31">
        <v>7.9666577468557667E-3</v>
      </c>
      <c r="L76" s="31">
        <v>1.1799342645850449E-2</v>
      </c>
      <c r="M76" s="31">
        <v>1.2687239583333334E-2</v>
      </c>
      <c r="N76" s="31">
        <v>1.2205818181818181E-2</v>
      </c>
      <c r="O76" s="31">
        <v>1.6666666666666666E-2</v>
      </c>
      <c r="P76" s="31">
        <v>9.5929694727104557E-4</v>
      </c>
      <c r="Q76" s="32">
        <v>12.898270022787358</v>
      </c>
      <c r="R76" s="32">
        <v>4.6549459190040423</v>
      </c>
      <c r="S76" s="32">
        <v>58.992304085495562</v>
      </c>
      <c r="T76" s="32">
        <v>4.9186507347484048</v>
      </c>
      <c r="U76" s="32">
        <v>3.9199805370819814</v>
      </c>
      <c r="V76" s="32">
        <v>4.2444935513221713</v>
      </c>
      <c r="W76" s="33">
        <v>1.6422222222222222</v>
      </c>
      <c r="X76" s="33">
        <v>-1.0094904599999985</v>
      </c>
    </row>
    <row r="77" spans="1:25" x14ac:dyDescent="0.15">
      <c r="A77" s="29" t="s">
        <v>38</v>
      </c>
      <c r="B77" s="30">
        <v>12.489520000000002</v>
      </c>
      <c r="C77" s="31">
        <v>4.9183588893493585E-2</v>
      </c>
      <c r="D77" s="31">
        <v>0.14124181963288113</v>
      </c>
      <c r="E77" s="31">
        <v>0.37385210785328638</v>
      </c>
      <c r="F77" s="31">
        <v>8.9785350602947737E-3</v>
      </c>
      <c r="G77" s="31">
        <v>8.0733962264150916E-3</v>
      </c>
      <c r="H77" s="31">
        <v>3.7998356231599612E-2</v>
      </c>
      <c r="I77" s="31">
        <v>1.2570422535211276E-3</v>
      </c>
      <c r="J77" s="31">
        <v>3.5310937499999995E-3</v>
      </c>
      <c r="K77" s="31">
        <v>7.4740701097136758E-3</v>
      </c>
      <c r="L77" s="31">
        <v>1.1496795398520951E-2</v>
      </c>
      <c r="M77" s="31">
        <v>1.2732031250000001E-2</v>
      </c>
      <c r="N77" s="31">
        <v>1.1647999999999999E-2</v>
      </c>
      <c r="O77" s="31">
        <v>1.5543071161048689E-2</v>
      </c>
      <c r="P77" s="31">
        <v>1.0945420906567996E-3</v>
      </c>
      <c r="Q77" s="32">
        <v>12.98959428227321</v>
      </c>
      <c r="R77" s="32">
        <v>4.5720574643209604</v>
      </c>
      <c r="S77" s="32">
        <v>59.057721502490196</v>
      </c>
      <c r="T77" s="32">
        <v>4.4120572955321364</v>
      </c>
      <c r="U77" s="32">
        <v>4.0567180162007119</v>
      </c>
      <c r="V77" s="32">
        <v>4.2708279849360826</v>
      </c>
      <c r="W77" s="33">
        <v>1.6853749999999998</v>
      </c>
      <c r="X77" s="33">
        <v>-0.94665471999999795</v>
      </c>
    </row>
    <row r="78" spans="1:25" x14ac:dyDescent="0.15">
      <c r="A78" s="29" t="s">
        <v>39</v>
      </c>
      <c r="B78" s="30">
        <v>12.581695000000002</v>
      </c>
      <c r="C78" s="31">
        <v>4.4834749274761714E-2</v>
      </c>
      <c r="D78" s="31">
        <v>0.114464485235435</v>
      </c>
      <c r="E78" s="31">
        <v>0.39347879405628383</v>
      </c>
      <c r="F78" s="31">
        <v>8.3170611880303696E-3</v>
      </c>
      <c r="G78" s="31">
        <v>7.7622641509433946E-3</v>
      </c>
      <c r="H78" s="31">
        <v>3.3757568694798824E-2</v>
      </c>
      <c r="I78" s="31">
        <v>1.1619718309859165E-3</v>
      </c>
      <c r="J78" s="31">
        <v>3.2767968749999993E-3</v>
      </c>
      <c r="K78" s="31">
        <v>6.4415306395504395E-3</v>
      </c>
      <c r="L78" s="31">
        <v>1.0005669679539851E-2</v>
      </c>
      <c r="M78" s="31">
        <v>1.2642447916666666E-2</v>
      </c>
      <c r="N78" s="31">
        <v>1.0749818181818178E-2</v>
      </c>
      <c r="O78" s="31">
        <v>1.7406367041198502E-2</v>
      </c>
      <c r="P78" s="31">
        <v>1.0064754856614249E-3</v>
      </c>
      <c r="Q78" s="32">
        <v>12.682354312290325</v>
      </c>
      <c r="R78" s="32">
        <v>4.3291302294247345</v>
      </c>
      <c r="S78" s="32">
        <v>61.096528073749788</v>
      </c>
      <c r="T78" s="32">
        <v>3.4772970164761769</v>
      </c>
      <c r="U78" s="32">
        <v>3.7190114098402001</v>
      </c>
      <c r="V78" s="32">
        <v>4.0815518852335257</v>
      </c>
      <c r="W78" s="33">
        <v>1.7747777777777778</v>
      </c>
      <c r="X78" s="33">
        <v>-0.95021146000000201</v>
      </c>
    </row>
    <row r="79" spans="1:25" x14ac:dyDescent="0.15">
      <c r="A79" s="29" t="s">
        <v>40</v>
      </c>
      <c r="B79" s="30">
        <v>12.673870000000001</v>
      </c>
      <c r="C79" s="31">
        <v>4.628107710623993E-2</v>
      </c>
      <c r="D79" s="31">
        <v>0.15555484795414748</v>
      </c>
      <c r="E79" s="31">
        <v>0.40748630373624201</v>
      </c>
      <c r="F79" s="31">
        <v>8.0562470643494605E-3</v>
      </c>
      <c r="G79" s="31">
        <v>8.4219081272084786E-3</v>
      </c>
      <c r="H79" s="31">
        <v>3.6785718925062931E-2</v>
      </c>
      <c r="I79" s="31">
        <v>1.2902097902097902E-3</v>
      </c>
      <c r="J79" s="31">
        <v>3.4383551114527278E-3</v>
      </c>
      <c r="K79" s="31">
        <v>7.13093525179856E-3</v>
      </c>
      <c r="L79" s="31">
        <v>1.0706612368856987E-2</v>
      </c>
      <c r="M79" s="31">
        <v>1.3000519480519479E-2</v>
      </c>
      <c r="N79" s="31">
        <v>1.189782608695652E-2</v>
      </c>
      <c r="O79" s="31">
        <v>1.5901930894308941E-2</v>
      </c>
      <c r="P79" s="31">
        <v>1.2678682411435675E-3</v>
      </c>
      <c r="Q79" s="32">
        <v>12.90992483642942</v>
      </c>
      <c r="R79" s="32">
        <v>4.7970602618703051</v>
      </c>
      <c r="S79" s="32">
        <v>60.136230359216093</v>
      </c>
      <c r="T79" s="32">
        <v>4.4832731180297403</v>
      </c>
      <c r="U79" s="32">
        <v>4.0698027422101095</v>
      </c>
      <c r="V79" s="32">
        <v>4.2962420030645312</v>
      </c>
      <c r="W79" s="33">
        <v>1.7646249999999999</v>
      </c>
      <c r="X79" s="33">
        <v>-0.98113084750000112</v>
      </c>
    </row>
    <row r="80" spans="1:25" x14ac:dyDescent="0.15">
      <c r="A80" s="29" t="s">
        <v>41</v>
      </c>
      <c r="B80" s="30">
        <v>12.715449275362319</v>
      </c>
      <c r="C80" s="31">
        <v>5.0303942853140979E-2</v>
      </c>
      <c r="D80" s="31">
        <v>0.18444196783951602</v>
      </c>
      <c r="E80" s="31">
        <v>0.38840383001826173</v>
      </c>
      <c r="F80" s="31">
        <v>8.5322980272428389E-3</v>
      </c>
      <c r="G80" s="31">
        <v>8.5403331650681473E-3</v>
      </c>
      <c r="H80" s="31">
        <v>4.1509568076642057E-2</v>
      </c>
      <c r="I80" s="31">
        <v>1.2587412587412587E-3</v>
      </c>
      <c r="J80" s="31">
        <v>3.3883166794773253E-3</v>
      </c>
      <c r="K80" s="31">
        <v>7.9987210231814553E-3</v>
      </c>
      <c r="L80" s="31">
        <v>1.1327443401435671E-2</v>
      </c>
      <c r="M80" s="31">
        <v>1.2486753246753243E-2</v>
      </c>
      <c r="N80" s="31">
        <v>1.3037681159420292E-2</v>
      </c>
      <c r="O80" s="31">
        <v>1.500762195121951E-2</v>
      </c>
      <c r="P80" s="31">
        <v>2.852703542573027E-4</v>
      </c>
      <c r="Q80" s="32">
        <v>12.410481219527444</v>
      </c>
      <c r="R80" s="32">
        <v>4.668373319970974</v>
      </c>
      <c r="S80" s="32">
        <v>57.261376662823061</v>
      </c>
      <c r="T80" s="32">
        <v>6.0756917983271377</v>
      </c>
      <c r="U80" s="32">
        <v>4.3789828994048543</v>
      </c>
      <c r="V80" s="32">
        <v>4.1755624093183457</v>
      </c>
      <c r="W80" s="33">
        <v>1.5253333333333332</v>
      </c>
      <c r="X80" s="33">
        <v>-0.67160016000000056</v>
      </c>
    </row>
    <row r="81" spans="1:24" x14ac:dyDescent="0.15">
      <c r="A81" s="29" t="s">
        <v>42</v>
      </c>
      <c r="B81" s="30">
        <v>12.833788898003828</v>
      </c>
      <c r="C81" s="31">
        <v>4.6111947615379227E-2</v>
      </c>
      <c r="D81" s="31">
        <v>0.17962744785862128</v>
      </c>
      <c r="E81" s="31">
        <v>0.42260697892502841</v>
      </c>
      <c r="F81" s="31">
        <v>8.5933302019727559E-3</v>
      </c>
      <c r="G81" s="31">
        <v>8.3378091872791504E-3</v>
      </c>
      <c r="H81" s="31">
        <v>3.5814147113745247E-2</v>
      </c>
      <c r="I81" s="31">
        <v>1.3636363636363635E-3</v>
      </c>
      <c r="J81" s="31">
        <v>3.4526518063028437E-3</v>
      </c>
      <c r="K81" s="31">
        <v>7.5082334132693844E-3</v>
      </c>
      <c r="L81" s="31">
        <v>1.1164066813914965E-2</v>
      </c>
      <c r="M81" s="31">
        <v>1.3413766233766234E-2</v>
      </c>
      <c r="N81" s="31">
        <v>1.189782608695652E-2</v>
      </c>
      <c r="O81" s="31">
        <v>1.8165650406504065E-2</v>
      </c>
      <c r="P81" s="31">
        <v>1.0840273461777501E-3</v>
      </c>
      <c r="Q81" s="32">
        <v>13.273549151556706</v>
      </c>
      <c r="R81" s="32">
        <v>4.9439147720377781</v>
      </c>
      <c r="S81" s="32">
        <v>60.560010375761408</v>
      </c>
      <c r="T81" s="32">
        <v>3.1327455229482415</v>
      </c>
      <c r="U81" s="32">
        <v>4.1850147073552595</v>
      </c>
      <c r="V81" s="32">
        <v>4.4477499966100336</v>
      </c>
      <c r="W81" s="33">
        <v>1.8396666666666668</v>
      </c>
      <c r="X81" s="33">
        <v>-0.13224209500000228</v>
      </c>
    </row>
    <row r="82" spans="1:24" x14ac:dyDescent="0.15">
      <c r="A82" s="29" t="s">
        <v>43</v>
      </c>
      <c r="B82" s="30">
        <v>12.952128520645338</v>
      </c>
      <c r="C82" s="31">
        <v>5.1584494712514873E-3</v>
      </c>
      <c r="D82" s="31">
        <v>0</v>
      </c>
      <c r="E82" s="31">
        <v>0.13749370712205713</v>
      </c>
      <c r="F82" s="31">
        <v>1.8749084077031469E-3</v>
      </c>
      <c r="G82" s="31">
        <v>3.9886925795052999E-3</v>
      </c>
      <c r="H82" s="31">
        <v>1.9844633433465951E-2</v>
      </c>
      <c r="I82" s="31">
        <v>4.4055944055944069E-4</v>
      </c>
      <c r="J82" s="31">
        <v>3.8887009992313588E-3</v>
      </c>
      <c r="K82" s="31">
        <v>1.3629896083133492E-2</v>
      </c>
      <c r="L82" s="31">
        <v>1.2362161789066815E-2</v>
      </c>
      <c r="M82" s="31">
        <v>5.6402597402597406E-3</v>
      </c>
      <c r="N82" s="31">
        <v>4.7478260869565211E-3</v>
      </c>
      <c r="O82" s="31">
        <v>3.8939701897018962E-3</v>
      </c>
      <c r="P82" s="31">
        <v>5.3250466128029826E-4</v>
      </c>
      <c r="Q82" s="32">
        <v>3.9552758892056814</v>
      </c>
      <c r="R82" s="32">
        <v>1.8480019118959385</v>
      </c>
      <c r="S82" s="32">
        <v>17.484569982390877</v>
      </c>
      <c r="T82" s="32">
        <v>3.3861965166571344</v>
      </c>
      <c r="U82" s="32">
        <v>0.53638080452923287</v>
      </c>
      <c r="V82" s="32">
        <v>0</v>
      </c>
      <c r="W82" s="33">
        <v>3.0451111111111113</v>
      </c>
      <c r="X82" s="33">
        <v>-2.4912498999999997</v>
      </c>
    </row>
    <row r="83" spans="1:24" x14ac:dyDescent="0.15">
      <c r="A83" s="29" t="s">
        <v>44</v>
      </c>
      <c r="B83" s="30">
        <v>13.070468143286847</v>
      </c>
      <c r="C83" s="31">
        <v>4.9820715736396105E-2</v>
      </c>
      <c r="D83" s="31">
        <v>0.19762458207291833</v>
      </c>
      <c r="E83" s="31">
        <v>0.39588470460490599</v>
      </c>
      <c r="F83" s="31">
        <v>7.0169563175199647E-3</v>
      </c>
      <c r="G83" s="31">
        <v>7.304593639575971E-3</v>
      </c>
      <c r="H83" s="31">
        <v>4.3396874238856881E-2</v>
      </c>
      <c r="I83" s="31">
        <v>1.269230769230769E-3</v>
      </c>
      <c r="J83" s="31">
        <v>3.5384319754035352E-3</v>
      </c>
      <c r="K83" s="31">
        <v>7.4610711430855327E-3</v>
      </c>
      <c r="L83" s="31">
        <v>1.1763114301490891E-2</v>
      </c>
      <c r="M83" s="31">
        <v>1.2509090909090907E-2</v>
      </c>
      <c r="N83" s="31">
        <v>1.0871014492753623E-2</v>
      </c>
      <c r="O83" s="31">
        <v>1.6554031165311654E-2</v>
      </c>
      <c r="P83" s="31">
        <v>9.0335612181479188E-4</v>
      </c>
      <c r="Q83" s="32">
        <v>12.360763256585248</v>
      </c>
      <c r="R83" s="32">
        <v>4.6568619728355554</v>
      </c>
      <c r="S83" s="32">
        <v>57.101472158729898</v>
      </c>
      <c r="T83" s="32">
        <v>5.1182423773949095</v>
      </c>
      <c r="U83" s="32">
        <v>4.5708906384257348</v>
      </c>
      <c r="V83" s="32">
        <v>4.0226425888510722</v>
      </c>
      <c r="W83" s="33">
        <v>1.5211111111111113</v>
      </c>
      <c r="X83" s="33">
        <v>-0.21579854000000509</v>
      </c>
    </row>
    <row r="84" spans="1:24" x14ac:dyDescent="0.15">
      <c r="A84" s="29" t="s">
        <v>45</v>
      </c>
      <c r="B84" s="30">
        <v>13.188807765928358</v>
      </c>
      <c r="C84" s="31">
        <v>4.9047552349604305E-2</v>
      </c>
      <c r="D84" s="31">
        <v>0.15819137080082793</v>
      </c>
      <c r="E84" s="31">
        <v>0.39751937219288297</v>
      </c>
      <c r="F84" s="31">
        <v>8.2027242837012689E-3</v>
      </c>
      <c r="G84" s="31">
        <v>7.93893992932862E-3</v>
      </c>
      <c r="H84" s="31">
        <v>4.2592814808800852E-2</v>
      </c>
      <c r="I84" s="31">
        <v>1.2587412587412587E-3</v>
      </c>
      <c r="J84" s="31">
        <v>3.7028439661798604E-3</v>
      </c>
      <c r="K84" s="31">
        <v>8.9419664268585112E-3</v>
      </c>
      <c r="L84" s="31">
        <v>1.1926490889011597E-2</v>
      </c>
      <c r="M84" s="31">
        <v>1.2721298701298702E-2</v>
      </c>
      <c r="N84" s="31">
        <v>1.0277536231884057E-2</v>
      </c>
      <c r="O84" s="31">
        <v>1.5743563685636851E-2</v>
      </c>
      <c r="P84" s="31">
        <v>6.1808576755748913E-4</v>
      </c>
      <c r="Q84" s="32">
        <v>12.624193658830428</v>
      </c>
      <c r="R84" s="32">
        <v>4.6709836027681195</v>
      </c>
      <c r="S84" s="32">
        <v>56.739363241029722</v>
      </c>
      <c r="T84" s="32">
        <v>4.812111229267944</v>
      </c>
      <c r="U84" s="32">
        <v>4.4368081876215735</v>
      </c>
      <c r="V84" s="32">
        <v>4.1148117075948862</v>
      </c>
      <c r="W84" s="33">
        <v>1.3766666666666667</v>
      </c>
      <c r="X84" s="33">
        <v>-0.44386101999999994</v>
      </c>
    </row>
    <row r="85" spans="1:24" x14ac:dyDescent="0.15">
      <c r="A85" s="29" t="s">
        <v>46</v>
      </c>
      <c r="B85" s="30">
        <v>13.307147388569867</v>
      </c>
      <c r="C85" s="31">
        <v>4.7440822186427617E-2</v>
      </c>
      <c r="D85" s="31">
        <v>0.15028180226078652</v>
      </c>
      <c r="E85" s="31">
        <v>0.39852968757711865</v>
      </c>
      <c r="F85" s="31">
        <v>7.8511789572569303E-3</v>
      </c>
      <c r="G85" s="31">
        <v>7.3238162544169618E-3</v>
      </c>
      <c r="H85" s="31">
        <v>4.0995863440772939E-2</v>
      </c>
      <c r="I85" s="31">
        <v>1.2692307692307695E-3</v>
      </c>
      <c r="J85" s="31">
        <v>3.4883935434281313E-3</v>
      </c>
      <c r="K85" s="31">
        <v>9.4890487609912075E-3</v>
      </c>
      <c r="L85" s="31">
        <v>1.0619478188845944E-2</v>
      </c>
      <c r="M85" s="31">
        <v>1.2676623376623375E-2</v>
      </c>
      <c r="N85" s="31">
        <v>9.8724637681159421E-3</v>
      </c>
      <c r="O85" s="31">
        <v>1.5501355013550138E-2</v>
      </c>
      <c r="P85" s="31">
        <v>1.0459912989434432E-3</v>
      </c>
      <c r="Q85" s="32">
        <v>12.876842693384434</v>
      </c>
      <c r="R85" s="32">
        <v>4.7631265855073979</v>
      </c>
      <c r="S85" s="32">
        <v>58.308212654246702</v>
      </c>
      <c r="T85" s="32">
        <v>4.6297433514440947</v>
      </c>
      <c r="U85" s="32">
        <v>4.3290526143773622</v>
      </c>
      <c r="V85" s="32">
        <v>4.028121320189296</v>
      </c>
      <c r="W85" s="33">
        <v>1.455125</v>
      </c>
      <c r="X85" s="33">
        <v>-0.66266981714285933</v>
      </c>
    </row>
    <row r="86" spans="1:24" x14ac:dyDescent="0.15">
      <c r="A86" s="29" t="s">
        <v>47</v>
      </c>
      <c r="B86" s="30">
        <v>13.425487011211375</v>
      </c>
      <c r="C86" s="31">
        <v>4.2875792811839321E-2</v>
      </c>
      <c r="D86" s="31">
        <v>0.11976989453499519</v>
      </c>
      <c r="E86" s="31">
        <v>0.43637732184047595</v>
      </c>
      <c r="F86" s="31">
        <v>9.730114401076715E-3</v>
      </c>
      <c r="G86" s="31">
        <v>9.4093023255813948E-3</v>
      </c>
      <c r="H86" s="31">
        <v>3.627594362546574E-2</v>
      </c>
      <c r="I86" s="31">
        <v>1.4897260273972603E-3</v>
      </c>
      <c r="J86" s="31">
        <v>3.83696319018405E-3</v>
      </c>
      <c r="K86" s="31">
        <v>7.1550122249388762E-3</v>
      </c>
      <c r="L86" s="31">
        <v>1.2415019273127749E-2</v>
      </c>
      <c r="M86" s="31">
        <v>1.556973913043478E-2</v>
      </c>
      <c r="N86" s="31">
        <v>9.2906095551894552E-3</v>
      </c>
      <c r="O86" s="31">
        <v>1.471949152542373E-2</v>
      </c>
      <c r="P86" s="31">
        <v>1.1196309258670058E-3</v>
      </c>
      <c r="Q86" s="32">
        <v>14.305583275714325</v>
      </c>
      <c r="R86" s="32">
        <v>5.5516107677897253</v>
      </c>
      <c r="S86" s="32">
        <v>60.758798312411379</v>
      </c>
      <c r="T86" s="32">
        <v>2.4809882706368316</v>
      </c>
      <c r="U86" s="32">
        <v>3.8283644095518485</v>
      </c>
      <c r="V86" s="32">
        <v>4.5904670201174991</v>
      </c>
      <c r="W86" s="33">
        <v>1.9056000000000002</v>
      </c>
      <c r="X86" s="33">
        <v>-0.46891987000000412</v>
      </c>
    </row>
    <row r="87" spans="1:24" x14ac:dyDescent="0.15">
      <c r="A87" s="29" t="s">
        <v>48</v>
      </c>
      <c r="B87" s="30">
        <v>13.543826633852886</v>
      </c>
      <c r="C87" s="31">
        <v>4.3726744186046516E-2</v>
      </c>
      <c r="D87" s="31">
        <v>0.13403643336529242</v>
      </c>
      <c r="E87" s="31">
        <v>0.45383464853708894</v>
      </c>
      <c r="F87" s="31">
        <v>1.1280657565852722E-2</v>
      </c>
      <c r="G87" s="31">
        <v>9.8343023255813948E-3</v>
      </c>
      <c r="H87" s="31">
        <v>3.5351219018305534E-2</v>
      </c>
      <c r="I87" s="31">
        <v>1.5410958904109586E-3</v>
      </c>
      <c r="J87" s="31">
        <v>3.7727760736196323E-3</v>
      </c>
      <c r="K87" s="31">
        <v>6.9145884270578667E-3</v>
      </c>
      <c r="L87" s="31">
        <v>1.2425881057268719E-2</v>
      </c>
      <c r="M87" s="31">
        <v>1.4795739130434781E-2</v>
      </c>
      <c r="N87" s="31">
        <v>9.4062602965403613E-3</v>
      </c>
      <c r="O87" s="31">
        <v>1.6285593220338981E-2</v>
      </c>
      <c r="P87" s="31">
        <v>1.2795782009908637E-3</v>
      </c>
      <c r="Q87" s="32">
        <v>14.035715841135538</v>
      </c>
      <c r="R87" s="32">
        <v>5.680006310084087</v>
      </c>
      <c r="S87" s="32">
        <v>61.609454083116262</v>
      </c>
      <c r="T87" s="32">
        <v>2.1308679728744671</v>
      </c>
      <c r="U87" s="32">
        <v>3.7898936866208706</v>
      </c>
      <c r="V87" s="32">
        <v>4.5140541179905762</v>
      </c>
      <c r="W87" s="33">
        <v>2.001555555555556</v>
      </c>
      <c r="X87" s="33">
        <v>-0.7485550800000027</v>
      </c>
    </row>
    <row r="88" spans="1:24" x14ac:dyDescent="0.15">
      <c r="A88" s="29" t="s">
        <v>49</v>
      </c>
      <c r="B88" s="30">
        <v>13.662166256494395</v>
      </c>
      <c r="C88" s="31">
        <v>4.9124207188160685E-2</v>
      </c>
      <c r="D88" s="31">
        <v>0.24103547459252156</v>
      </c>
      <c r="E88" s="31">
        <v>0.40567342479057905</v>
      </c>
      <c r="F88" s="31">
        <v>8.6319650067294765E-3</v>
      </c>
      <c r="G88" s="31">
        <v>9.2248062015503861E-3</v>
      </c>
      <c r="H88" s="31">
        <v>4.1412064636319468E-2</v>
      </c>
      <c r="I88" s="31">
        <v>1.4383561643835619E-3</v>
      </c>
      <c r="J88" s="31">
        <v>3.8440950920245417E-3</v>
      </c>
      <c r="K88" s="31">
        <v>8.2609616951915266E-3</v>
      </c>
      <c r="L88" s="31">
        <v>1.1893653634361233E-2</v>
      </c>
      <c r="M88" s="31">
        <v>1.3819826086956522E-2</v>
      </c>
      <c r="N88" s="31">
        <v>9.6471993410214164E-3</v>
      </c>
      <c r="O88" s="31">
        <v>1.4411864406779662E-2</v>
      </c>
      <c r="P88" s="31">
        <v>1.20076360165447E-3</v>
      </c>
      <c r="Q88" s="32">
        <v>13.071182262775874</v>
      </c>
      <c r="R88" s="32">
        <v>5.3781925706545035</v>
      </c>
      <c r="S88" s="32">
        <v>56.518483605199073</v>
      </c>
      <c r="T88" s="32">
        <v>3.5983769742219081</v>
      </c>
      <c r="U88" s="32">
        <v>4.215121267348942</v>
      </c>
      <c r="V88" s="32">
        <v>4.2172674564787762</v>
      </c>
      <c r="W88" s="33">
        <v>1.3129999999999999</v>
      </c>
      <c r="X88" s="33">
        <v>-0.67084570000000454</v>
      </c>
    </row>
    <row r="89" spans="1:24" x14ac:dyDescent="0.15">
      <c r="A89" s="29" t="s">
        <v>50</v>
      </c>
      <c r="B89" s="30">
        <v>13.780505879135903</v>
      </c>
      <c r="C89" s="31">
        <v>4.3082452431289657E-2</v>
      </c>
      <c r="D89" s="31">
        <v>0.1558964525407478</v>
      </c>
      <c r="E89" s="31">
        <v>0.42505183926186729</v>
      </c>
      <c r="F89" s="31">
        <v>1.0205127860026917E-2</v>
      </c>
      <c r="G89" s="31">
        <v>9.7255813953488375E-3</v>
      </c>
      <c r="H89" s="31">
        <v>3.6376214968410828E-2</v>
      </c>
      <c r="I89" s="31">
        <v>1.4486301369863014E-3</v>
      </c>
      <c r="J89" s="31">
        <v>3.8298312883435592E-3</v>
      </c>
      <c r="K89" s="31">
        <v>8.3282803585982071E-3</v>
      </c>
      <c r="L89" s="31">
        <v>1.2360710352422902E-2</v>
      </c>
      <c r="M89" s="31">
        <v>1.5064956521739127E-2</v>
      </c>
      <c r="N89" s="31">
        <v>1.0215815485996704E-2</v>
      </c>
      <c r="O89" s="31">
        <v>1.5698305084745762E-2</v>
      </c>
      <c r="P89" s="31">
        <v>1.9593541202672601E-3</v>
      </c>
      <c r="Q89" s="32">
        <v>14.001646297490467</v>
      </c>
      <c r="R89" s="32">
        <v>5.2585035676559846</v>
      </c>
      <c r="S89" s="32">
        <v>60.72712380802438</v>
      </c>
      <c r="T89" s="32">
        <v>2.0708205252810852</v>
      </c>
      <c r="U89" s="32">
        <v>3.8807505023599238</v>
      </c>
      <c r="V89" s="32">
        <v>4.5108505530216805</v>
      </c>
      <c r="W89" s="33">
        <v>1.9797499999999999</v>
      </c>
      <c r="X89" s="33">
        <v>-0.51919924000000606</v>
      </c>
    </row>
    <row r="90" spans="1:24" x14ac:dyDescent="0.15">
      <c r="A90" s="29" t="s">
        <v>51</v>
      </c>
      <c r="B90" s="30">
        <v>13.898845501777414</v>
      </c>
      <c r="C90" s="31">
        <v>4.2887949260042295E-2</v>
      </c>
      <c r="D90" s="31">
        <v>0.11654841802492807</v>
      </c>
      <c r="E90" s="31">
        <v>0.44759111326939421</v>
      </c>
      <c r="F90" s="31">
        <v>1.0457957604306864E-2</v>
      </c>
      <c r="G90" s="31">
        <v>9.6069767441860458E-3</v>
      </c>
      <c r="H90" s="31">
        <v>3.1930852097845464E-2</v>
      </c>
      <c r="I90" s="31">
        <v>1.4383561643835619E-3</v>
      </c>
      <c r="J90" s="31">
        <v>3.6087423312883451E-3</v>
      </c>
      <c r="K90" s="31">
        <v>7.0299918500407524E-3</v>
      </c>
      <c r="L90" s="31">
        <v>1.2534498898678409E-2</v>
      </c>
      <c r="M90" s="31">
        <v>1.456017391304348E-2</v>
      </c>
      <c r="N90" s="31">
        <v>1.1902388797364084E-2</v>
      </c>
      <c r="O90" s="31">
        <v>1.7842372881355931E-2</v>
      </c>
      <c r="P90" s="31">
        <v>1.8985046134266618E-3</v>
      </c>
      <c r="Q90" s="32">
        <v>13.918748056829395</v>
      </c>
      <c r="R90" s="32">
        <v>5.1714899993362113</v>
      </c>
      <c r="S90" s="32">
        <v>62.063935065434393</v>
      </c>
      <c r="T90" s="32">
        <v>1.750958671113958</v>
      </c>
      <c r="U90" s="32">
        <v>3.6963743632880051</v>
      </c>
      <c r="V90" s="32">
        <v>4.3211154789294826</v>
      </c>
      <c r="W90" s="33">
        <v>2.5955714285714286</v>
      </c>
      <c r="X90" s="33">
        <v>-0.10066794399999779</v>
      </c>
    </row>
    <row r="91" spans="1:24" x14ac:dyDescent="0.15">
      <c r="A91" s="29" t="s">
        <v>52</v>
      </c>
      <c r="B91" s="30">
        <v>14.017185124418923</v>
      </c>
      <c r="C91" s="31">
        <v>4.2815010570824534E-2</v>
      </c>
      <c r="D91" s="31">
        <v>0.10849472674976028</v>
      </c>
      <c r="E91" s="31">
        <v>0.45593444215126883</v>
      </c>
      <c r="F91" s="31">
        <v>1.0256204576043069E-2</v>
      </c>
      <c r="G91" s="31">
        <v>8.6537467700258403E-3</v>
      </c>
      <c r="H91" s="31">
        <v>3.2733022841406133E-2</v>
      </c>
      <c r="I91" s="31">
        <v>1.3869863013698629E-3</v>
      </c>
      <c r="J91" s="31">
        <v>3.5017638036809822E-3</v>
      </c>
      <c r="K91" s="31">
        <v>7.0396088019559939E-3</v>
      </c>
      <c r="L91" s="31">
        <v>1.2100027533039645E-2</v>
      </c>
      <c r="M91" s="31">
        <v>1.445921739130435E-2</v>
      </c>
      <c r="N91" s="31">
        <v>1.3280560131795715E-2</v>
      </c>
      <c r="O91" s="31">
        <v>1.8672033898305084E-2</v>
      </c>
      <c r="P91" s="31">
        <v>1.9889095950184075E-3</v>
      </c>
      <c r="Q91" s="32">
        <v>13.685997602421658</v>
      </c>
      <c r="R91" s="32">
        <v>4.9854265903665489</v>
      </c>
      <c r="S91" s="32">
        <v>62.372477419066826</v>
      </c>
      <c r="T91" s="32">
        <v>1.8785645998542113</v>
      </c>
      <c r="U91" s="32">
        <v>3.5248887798495261</v>
      </c>
      <c r="V91" s="32">
        <v>4.2915901637571423</v>
      </c>
      <c r="W91" s="33">
        <v>2.6170000000000004</v>
      </c>
      <c r="X91" s="33">
        <v>-0.49291631714285344</v>
      </c>
    </row>
    <row r="92" spans="1:24" x14ac:dyDescent="0.15">
      <c r="A92" s="29" t="s">
        <v>53</v>
      </c>
      <c r="B92" s="30">
        <v>14.135524747060433</v>
      </c>
      <c r="C92" s="31">
        <v>4.3556553911205081E-2</v>
      </c>
      <c r="D92" s="31">
        <v>0.10688398849472677</v>
      </c>
      <c r="E92" s="31">
        <v>0.44609445186354268</v>
      </c>
      <c r="F92" s="31">
        <v>1.0450296096904441E-2</v>
      </c>
      <c r="G92" s="31">
        <v>9.3500000000000007E-3</v>
      </c>
      <c r="H92" s="31">
        <v>3.3947420217074364E-2</v>
      </c>
      <c r="I92" s="31">
        <v>1.4794520547945203E-3</v>
      </c>
      <c r="J92" s="31">
        <v>3.5659509202453994E-3</v>
      </c>
      <c r="K92" s="31">
        <v>7.1261613691931576E-3</v>
      </c>
      <c r="L92" s="31">
        <v>1.1709003303964757E-2</v>
      </c>
      <c r="M92" s="31">
        <v>1.4178782608695652E-2</v>
      </c>
      <c r="N92" s="31">
        <v>1.3232372322899505E-2</v>
      </c>
      <c r="O92" s="31">
        <v>1.7814406779661014E-2</v>
      </c>
      <c r="P92" s="31">
        <v>1.3073951184037088E-3</v>
      </c>
      <c r="Q92" s="32">
        <v>13.918489124314114</v>
      </c>
      <c r="R92" s="32">
        <v>5.3846188258490537</v>
      </c>
      <c r="S92" s="32">
        <v>61.937031439555909</v>
      </c>
      <c r="T92" s="32">
        <v>1.9960061407965362</v>
      </c>
      <c r="U92" s="32">
        <v>3.6587375578298054</v>
      </c>
      <c r="V92" s="32">
        <v>4.3100237916929141</v>
      </c>
      <c r="W92" s="33">
        <v>2.4848750000000002</v>
      </c>
      <c r="X92" s="33">
        <v>-0.35037534250000135</v>
      </c>
    </row>
    <row r="93" spans="1:24" x14ac:dyDescent="0.15">
      <c r="A93" s="29" t="s">
        <v>54</v>
      </c>
      <c r="B93" s="30">
        <v>14.253864369701942</v>
      </c>
      <c r="C93" s="31">
        <v>4.4655992615734177E-2</v>
      </c>
      <c r="D93" s="31">
        <v>0.10484230346775458</v>
      </c>
      <c r="E93" s="31">
        <v>0.44176234502705436</v>
      </c>
      <c r="F93" s="31">
        <v>1.016661941885188E-2</v>
      </c>
      <c r="G93" s="31">
        <v>9.1799999999999937E-3</v>
      </c>
      <c r="H93" s="31">
        <v>3.939843655314508E-2</v>
      </c>
      <c r="I93" s="31">
        <v>1.4558823529411766E-3</v>
      </c>
      <c r="J93" s="31">
        <v>3.6964370546318285E-3</v>
      </c>
      <c r="K93" s="31">
        <v>6.9824371791407736E-3</v>
      </c>
      <c r="L93" s="31">
        <v>1.234765809589993E-2</v>
      </c>
      <c r="M93" s="31">
        <v>1.41661662817552E-2</v>
      </c>
      <c r="N93" s="31">
        <v>1.3875184275184273E-2</v>
      </c>
      <c r="O93" s="31">
        <v>1.6665132865523982E-2</v>
      </c>
      <c r="P93" s="31">
        <v>1.4107601026298912E-3</v>
      </c>
      <c r="Q93" s="32">
        <v>13.88368598958537</v>
      </c>
      <c r="R93" s="32">
        <v>5.3319672946685435</v>
      </c>
      <c r="S93" s="32">
        <v>60.627156814666101</v>
      </c>
      <c r="T93" s="32">
        <v>2.7430931091456894</v>
      </c>
      <c r="U93" s="32">
        <v>4.0988424657534237</v>
      </c>
      <c r="V93" s="32">
        <v>4.3042286331150503</v>
      </c>
      <c r="W93" s="33">
        <v>1.5591111111111111</v>
      </c>
      <c r="X93" s="33">
        <v>-0.69035387999999998</v>
      </c>
    </row>
    <row r="94" spans="1:24" x14ac:dyDescent="0.15">
      <c r="A94" s="29" t="s">
        <v>55</v>
      </c>
      <c r="B94" s="30">
        <v>14.372203992343451</v>
      </c>
      <c r="C94" s="31">
        <v>4.5096918489065614E-2</v>
      </c>
      <c r="D94" s="31">
        <v>0.11195983053506982</v>
      </c>
      <c r="E94" s="31">
        <v>0.43041613181027916</v>
      </c>
      <c r="F94" s="31">
        <v>1.1061197732104894E-2</v>
      </c>
      <c r="G94" s="31">
        <v>9.5686893203883443E-3</v>
      </c>
      <c r="H94" s="31">
        <v>4.1087734820021822E-2</v>
      </c>
      <c r="I94" s="31">
        <v>1.5373303167420815E-3</v>
      </c>
      <c r="J94" s="31">
        <v>3.9467933491686442E-3</v>
      </c>
      <c r="K94" s="31">
        <v>7.9006754931099724E-3</v>
      </c>
      <c r="L94" s="31">
        <v>1.2402487838776928E-2</v>
      </c>
      <c r="M94" s="31">
        <v>1.4177338337182451E-2</v>
      </c>
      <c r="N94" s="31">
        <v>1.3712285012285009E-2</v>
      </c>
      <c r="O94" s="31">
        <v>1.7196594961463245E-2</v>
      </c>
      <c r="P94" s="31">
        <v>1.0141116100064146E-3</v>
      </c>
      <c r="Q94" s="32">
        <v>13.603119218762581</v>
      </c>
      <c r="R94" s="32">
        <v>5.61539421286058</v>
      </c>
      <c r="S94" s="32">
        <v>59.515237253346086</v>
      </c>
      <c r="T94" s="32">
        <v>2.9835450481096313</v>
      </c>
      <c r="U94" s="32">
        <v>4.085691780821918</v>
      </c>
      <c r="V94" s="32">
        <v>4.3261563394119413</v>
      </c>
      <c r="W94" s="33">
        <v>1.2081666666666668</v>
      </c>
      <c r="X94" s="33">
        <v>-0.58666951999999739</v>
      </c>
    </row>
    <row r="95" spans="1:24" x14ac:dyDescent="0.15">
      <c r="A95" s="29" t="s">
        <v>56</v>
      </c>
      <c r="B95" s="30">
        <v>14.490543614984961</v>
      </c>
      <c r="C95" s="31">
        <v>4.4876455552399892E-2</v>
      </c>
      <c r="D95" s="31">
        <v>0.10755374235054133</v>
      </c>
      <c r="E95" s="31">
        <v>0.43370115204003717</v>
      </c>
      <c r="F95" s="31">
        <v>9.8008947554925618E-3</v>
      </c>
      <c r="G95" s="31">
        <v>1.0199999999999997E-2</v>
      </c>
      <c r="H95" s="31">
        <v>3.8787177311840997E-2</v>
      </c>
      <c r="I95" s="31">
        <v>1.5678733031674211E-3</v>
      </c>
      <c r="J95" s="31">
        <v>3.89524940617577E-3</v>
      </c>
      <c r="K95" s="31">
        <v>7.3459065117535832E-3</v>
      </c>
      <c r="L95" s="31">
        <v>1.2040611535788741E-2</v>
      </c>
      <c r="M95" s="31">
        <v>1.3965069284064668E-2</v>
      </c>
      <c r="N95" s="31">
        <v>1.297444717444717E-2</v>
      </c>
      <c r="O95" s="31">
        <v>1.6921373518923272E-2</v>
      </c>
      <c r="P95" s="31">
        <v>1.0795381654906992E-3</v>
      </c>
      <c r="Q95" s="32">
        <v>13.533153183359341</v>
      </c>
      <c r="R95" s="32">
        <v>5.8436625832342566</v>
      </c>
      <c r="S95" s="32">
        <v>60.234427512371234</v>
      </c>
      <c r="T95" s="32">
        <v>2.8012620274079105</v>
      </c>
      <c r="U95" s="32">
        <v>4.0585068493150676</v>
      </c>
      <c r="V95" s="32">
        <v>4.2541320968570124</v>
      </c>
      <c r="W95" s="33">
        <v>1.4630000000000001</v>
      </c>
      <c r="X95" s="33">
        <v>-0.71158654000000254</v>
      </c>
    </row>
    <row r="96" spans="1:24" x14ac:dyDescent="0.15">
      <c r="A96" s="29" t="s">
        <v>57</v>
      </c>
      <c r="B96" s="30">
        <v>14.60888323762647</v>
      </c>
      <c r="C96" s="31">
        <v>4.4153827037773367E-2</v>
      </c>
      <c r="D96" s="31">
        <v>0.11523615251843716</v>
      </c>
      <c r="E96" s="31">
        <v>0.43750190923419408</v>
      </c>
      <c r="F96" s="31">
        <v>1.1134868887313963E-2</v>
      </c>
      <c r="G96" s="31">
        <v>8.4394822006472435E-3</v>
      </c>
      <c r="H96" s="31">
        <v>3.6453278390498126E-2</v>
      </c>
      <c r="I96" s="31">
        <v>1.4253393665158373E-3</v>
      </c>
      <c r="J96" s="31">
        <v>3.9394299287410913E-3</v>
      </c>
      <c r="K96" s="31">
        <v>6.609402864090788E-3</v>
      </c>
      <c r="L96" s="31">
        <v>1.266567060458652E-2</v>
      </c>
      <c r="M96" s="31">
        <v>1.4445467667436492E-2</v>
      </c>
      <c r="N96" s="31">
        <v>1.3980589680589676E-2</v>
      </c>
      <c r="O96" s="31">
        <v>1.8819452432992059E-2</v>
      </c>
      <c r="P96" s="31">
        <v>2.1427196921103273E-3</v>
      </c>
      <c r="Q96" s="32">
        <v>13.632075459157187</v>
      </c>
      <c r="R96" s="32">
        <v>5.0700957057007106</v>
      </c>
      <c r="S96" s="32">
        <v>61.498331262027811</v>
      </c>
      <c r="T96" s="32">
        <v>1.9665584604917872</v>
      </c>
      <c r="U96" s="32">
        <v>3.9219657534246575</v>
      </c>
      <c r="V96" s="32">
        <v>4.2601009567372552</v>
      </c>
      <c r="W96" s="33">
        <v>2.5282000000000004</v>
      </c>
      <c r="X96" s="33">
        <v>3.2224796000001277E-2</v>
      </c>
    </row>
    <row r="97" spans="1:24" x14ac:dyDescent="0.15">
      <c r="A97" s="29" t="s">
        <v>58</v>
      </c>
      <c r="B97" s="30">
        <v>14.727222860267981</v>
      </c>
      <c r="C97" s="31">
        <v>4.3235231468332878E-2</v>
      </c>
      <c r="D97" s="31">
        <v>9.7498823160207124E-2</v>
      </c>
      <c r="E97" s="31">
        <v>0.45158377069691125</v>
      </c>
      <c r="F97" s="31">
        <v>1.0118507644021465E-2</v>
      </c>
      <c r="G97" s="31">
        <v>1.0229708737864074E-2</v>
      </c>
      <c r="H97" s="31">
        <v>3.2719040116349539E-2</v>
      </c>
      <c r="I97" s="31">
        <v>1.4253393665158373E-3</v>
      </c>
      <c r="J97" s="31">
        <v>3.9394299287410905E-3</v>
      </c>
      <c r="K97" s="31">
        <v>6.8772223723318048E-3</v>
      </c>
      <c r="L97" s="31">
        <v>1.235862404447533E-2</v>
      </c>
      <c r="M97" s="31">
        <v>1.4668908775981523E-2</v>
      </c>
      <c r="N97" s="31">
        <v>1.3463144963144959E-2</v>
      </c>
      <c r="O97" s="31">
        <v>1.8591682963303807E-2</v>
      </c>
      <c r="P97" s="31">
        <v>2.2940186016677357E-3</v>
      </c>
      <c r="Q97" s="32">
        <v>13.88097443460652</v>
      </c>
      <c r="R97" s="32">
        <v>5.1209046960148985</v>
      </c>
      <c r="S97" s="32">
        <v>61.321694860407256</v>
      </c>
      <c r="T97" s="32">
        <v>1.8123495966566234</v>
      </c>
      <c r="U97" s="32">
        <v>3.9686506849315069</v>
      </c>
      <c r="V97" s="32">
        <v>4.2906887457025</v>
      </c>
      <c r="W97" s="33">
        <v>2.3246666666666669</v>
      </c>
      <c r="X97" s="33">
        <v>0.44769513999999688</v>
      </c>
    </row>
    <row r="98" spans="1:24" x14ac:dyDescent="0.15">
      <c r="A98" s="29" t="s">
        <v>59</v>
      </c>
      <c r="B98" s="30">
        <v>14.845562482909489</v>
      </c>
      <c r="C98" s="31">
        <v>4.3774140869071297E-2</v>
      </c>
      <c r="D98" s="31">
        <v>0.10088812176369058</v>
      </c>
      <c r="E98" s="31">
        <v>0.43524836293323371</v>
      </c>
      <c r="F98" s="31">
        <v>9.5246279234585431E-3</v>
      </c>
      <c r="G98" s="31">
        <v>9.1877022653721625E-3</v>
      </c>
      <c r="H98" s="31">
        <v>3.4252745121803416E-2</v>
      </c>
      <c r="I98" s="31">
        <v>1.4355203619909505E-3</v>
      </c>
      <c r="J98" s="31">
        <v>3.89524940617577E-3</v>
      </c>
      <c r="K98" s="31">
        <v>7.1641718454471788E-3</v>
      </c>
      <c r="L98" s="31">
        <v>1.1974815844336345E-2</v>
      </c>
      <c r="M98" s="31">
        <v>1.4121478060046194E-2</v>
      </c>
      <c r="N98" s="31">
        <v>1.4728009828009826E-2</v>
      </c>
      <c r="O98" s="31">
        <v>1.8696077303577592E-2</v>
      </c>
      <c r="P98" s="31">
        <v>1.553880692751764E-3</v>
      </c>
      <c r="Q98" s="32">
        <v>13.45966410572081</v>
      </c>
      <c r="R98" s="32">
        <v>5.2227664571523631</v>
      </c>
      <c r="S98" s="32">
        <v>61.7185382639992</v>
      </c>
      <c r="T98" s="32">
        <v>2.150015064632131</v>
      </c>
      <c r="U98" s="32">
        <v>3.7660787671232878</v>
      </c>
      <c r="V98" s="32">
        <v>4.1493000683287491</v>
      </c>
      <c r="W98" s="33">
        <v>1.9616666666666669</v>
      </c>
      <c r="X98" s="33">
        <v>-0.53310286000000318</v>
      </c>
    </row>
    <row r="99" spans="1:24" x14ac:dyDescent="0.15">
      <c r="A99" s="29" t="s">
        <v>60</v>
      </c>
      <c r="B99" s="30">
        <v>14.963902105551</v>
      </c>
      <c r="C99" s="31">
        <v>4.5537844362397058E-2</v>
      </c>
      <c r="D99" s="31">
        <v>0.10100109838380669</v>
      </c>
      <c r="E99" s="31">
        <v>0.43756917927302874</v>
      </c>
      <c r="F99" s="31">
        <v>9.8111268603827077E-3</v>
      </c>
      <c r="G99" s="31">
        <v>9.2592233009708702E-3</v>
      </c>
      <c r="H99" s="31">
        <v>4.0432020361168351E-2</v>
      </c>
      <c r="I99" s="31">
        <v>1.5271493212669681E-3</v>
      </c>
      <c r="J99" s="31">
        <v>4.005700712589072E-3</v>
      </c>
      <c r="K99" s="31">
        <v>7.1163469332612824E-3</v>
      </c>
      <c r="L99" s="31">
        <v>1.1470382209867963E-2</v>
      </c>
      <c r="M99" s="31">
        <v>1.3428810623556582E-2</v>
      </c>
      <c r="N99" s="31">
        <v>1.3606879606879604E-2</v>
      </c>
      <c r="O99" s="31">
        <v>1.6276026688139881E-2</v>
      </c>
      <c r="P99" s="31">
        <v>1.3739576651699808E-3</v>
      </c>
      <c r="Q99" s="32">
        <v>13.351587857822826</v>
      </c>
      <c r="R99" s="32">
        <v>5.6674605973795167</v>
      </c>
      <c r="S99" s="32">
        <v>59.071929340879393</v>
      </c>
      <c r="T99" s="32">
        <v>2.8740854310428605</v>
      </c>
      <c r="U99" s="32">
        <v>3.966719178082192</v>
      </c>
      <c r="V99" s="32">
        <v>4.2516607794329122</v>
      </c>
      <c r="W99" s="33">
        <v>1.0718571428571428</v>
      </c>
      <c r="X99" s="33">
        <v>-0.77647010000000449</v>
      </c>
    </row>
    <row r="100" spans="1:24" x14ac:dyDescent="0.15">
      <c r="A100" s="29" t="s">
        <v>61</v>
      </c>
      <c r="B100" s="30">
        <v>15.082241728192509</v>
      </c>
      <c r="C100" s="31">
        <v>4.4783077243968572E-2</v>
      </c>
      <c r="D100" s="31">
        <v>0.1157101819342483</v>
      </c>
      <c r="E100" s="31">
        <v>0.42538414856171863</v>
      </c>
      <c r="F100" s="31">
        <v>9.9153911735205668E-3</v>
      </c>
      <c r="G100" s="31">
        <v>9.1720930232558114E-3</v>
      </c>
      <c r="H100" s="31">
        <v>3.8613447107237957E-2</v>
      </c>
      <c r="I100" s="31">
        <v>1.4892857142857156E-3</v>
      </c>
      <c r="J100" s="31">
        <v>3.5288253477588874E-3</v>
      </c>
      <c r="K100" s="31">
        <v>6.336404316925507E-3</v>
      </c>
      <c r="L100" s="31">
        <v>1.1840486787204455E-2</v>
      </c>
      <c r="M100" s="31">
        <v>1.3595478260869563E-2</v>
      </c>
      <c r="N100" s="31">
        <v>1.4518527607361966E-2</v>
      </c>
      <c r="O100" s="31">
        <v>1.8335516912815628E-2</v>
      </c>
      <c r="P100" s="31">
        <v>1.4372580133291018E-3</v>
      </c>
      <c r="Q100" s="32">
        <v>13.507304792640307</v>
      </c>
      <c r="R100" s="32">
        <v>5.2117907714673102</v>
      </c>
      <c r="S100" s="32">
        <v>61.042008028721646</v>
      </c>
      <c r="T100" s="32">
        <v>3.2297891262856542</v>
      </c>
      <c r="U100" s="32">
        <v>4.0458408718569689</v>
      </c>
      <c r="V100" s="32">
        <v>4.1708170931568906</v>
      </c>
      <c r="W100" s="33">
        <v>1.0867500000000001</v>
      </c>
      <c r="X100" s="33">
        <v>-1.3770202600000019</v>
      </c>
    </row>
    <row r="101" spans="1:24" x14ac:dyDescent="0.15">
      <c r="A101" s="29" t="s">
        <v>62</v>
      </c>
      <c r="B101" s="30">
        <v>15.200581350834018</v>
      </c>
      <c r="C101" s="31">
        <v>4.3056038378641442E-2</v>
      </c>
      <c r="D101" s="31">
        <v>0.10238110437280563</v>
      </c>
      <c r="E101" s="31">
        <v>0.46939094550309507</v>
      </c>
      <c r="F101" s="31">
        <v>9.3836509528585771E-3</v>
      </c>
      <c r="G101" s="31">
        <v>1.0090322580645161E-2</v>
      </c>
      <c r="H101" s="31">
        <v>3.626045751633987E-2</v>
      </c>
      <c r="I101" s="31">
        <v>1.5000000000000011E-3</v>
      </c>
      <c r="J101" s="31">
        <v>3.6366306027820709E-3</v>
      </c>
      <c r="K101" s="31">
        <v>6.0941300342195314E-3</v>
      </c>
      <c r="L101" s="31">
        <v>1.2465980528511824E-2</v>
      </c>
      <c r="M101" s="31">
        <v>1.4784521739130434E-2</v>
      </c>
      <c r="N101" s="31">
        <v>1.3676319018404909E-2</v>
      </c>
      <c r="O101" s="31">
        <v>1.9779954740352552E-2</v>
      </c>
      <c r="P101" s="31">
        <v>1.590209457315138E-3</v>
      </c>
      <c r="Q101" s="32">
        <v>13.942884094909486</v>
      </c>
      <c r="R101" s="32">
        <v>5.2389605669634731</v>
      </c>
      <c r="S101" s="32">
        <v>62.625551264678116</v>
      </c>
      <c r="T101" s="32">
        <v>1.8868918990563037</v>
      </c>
      <c r="U101" s="32">
        <v>3.8500197070066715</v>
      </c>
      <c r="V101" s="32">
        <v>4.4306114258124625</v>
      </c>
      <c r="W101" s="33">
        <v>1.8414999999999999</v>
      </c>
      <c r="X101" s="33">
        <v>-0.46544396500000218</v>
      </c>
    </row>
    <row r="102" spans="1:24" x14ac:dyDescent="0.15">
      <c r="A102" s="29" t="s">
        <v>63</v>
      </c>
      <c r="B102" s="30">
        <v>15.318920973475528</v>
      </c>
      <c r="C102" s="31">
        <v>4.4986963776680808E-2</v>
      </c>
      <c r="D102" s="31">
        <v>0.11697414618576446</v>
      </c>
      <c r="E102" s="31">
        <v>0.46757082170166281</v>
      </c>
      <c r="F102" s="31">
        <v>1.1103986960882653E-2</v>
      </c>
      <c r="G102" s="31">
        <v>1.0395265483037427E-2</v>
      </c>
      <c r="H102" s="31">
        <v>3.3962962962962959E-2</v>
      </c>
      <c r="I102" s="31">
        <v>1.5000000000000011E-3</v>
      </c>
      <c r="J102" s="31">
        <v>3.6366306027820709E-3</v>
      </c>
      <c r="K102" s="31">
        <v>6.2711766254277433E-3</v>
      </c>
      <c r="L102" s="31">
        <v>1.2027037552155775E-2</v>
      </c>
      <c r="M102" s="31">
        <v>1.4571391304347822E-2</v>
      </c>
      <c r="N102" s="31">
        <v>1.4700368098159508E-2</v>
      </c>
      <c r="O102" s="31">
        <v>2.0978739876131497E-2</v>
      </c>
      <c r="P102" s="31">
        <v>2.0116062927868707E-3</v>
      </c>
      <c r="Q102" s="32">
        <v>13.718834000651697</v>
      </c>
      <c r="R102" s="32">
        <v>5.3438307776178018</v>
      </c>
      <c r="S102" s="32">
        <v>62.909259054774111</v>
      </c>
      <c r="T102" s="32">
        <v>1.6310655020676494</v>
      </c>
      <c r="U102" s="32">
        <v>3.7354163401951701</v>
      </c>
      <c r="V102" s="32">
        <v>4.3470321312723987</v>
      </c>
      <c r="W102" s="33">
        <v>2.2478888888888893</v>
      </c>
      <c r="X102" s="33">
        <v>-0.36378047999999907</v>
      </c>
    </row>
    <row r="103" spans="1:24" x14ac:dyDescent="0.15">
      <c r="A103" s="29" t="s">
        <v>64</v>
      </c>
      <c r="B103" s="30">
        <v>15.437260596117037</v>
      </c>
      <c r="C103" s="31">
        <v>4.2408398804143779E-2</v>
      </c>
      <c r="D103" s="31">
        <v>9.5027130545802738E-2</v>
      </c>
      <c r="E103" s="31">
        <v>0.44871076586964437</v>
      </c>
      <c r="F103" s="31">
        <v>9.7616035606820483E-3</v>
      </c>
      <c r="G103" s="31">
        <v>9.416954238559639E-3</v>
      </c>
      <c r="H103" s="31">
        <v>2.994512224642944E-2</v>
      </c>
      <c r="I103" s="31">
        <v>1.2857142857142865E-3</v>
      </c>
      <c r="J103" s="31">
        <v>3.3994590417310662E-3</v>
      </c>
      <c r="K103" s="31">
        <v>6.4948144248486439E-3</v>
      </c>
      <c r="L103" s="31">
        <v>1.2290403337969406E-2</v>
      </c>
      <c r="M103" s="31">
        <v>1.4133913043478254E-2</v>
      </c>
      <c r="N103" s="31">
        <v>1.3944294478527608E-2</v>
      </c>
      <c r="O103" s="31">
        <v>2.3464745116722252E-2</v>
      </c>
      <c r="P103" s="31">
        <v>1.2902026567529581E-3</v>
      </c>
      <c r="Q103" s="32">
        <v>13.895232951392144</v>
      </c>
      <c r="R103" s="32">
        <v>4.5421268119487257</v>
      </c>
      <c r="S103" s="32">
        <v>63.642407296192118</v>
      </c>
      <c r="T103" s="32">
        <v>0.97566535892270201</v>
      </c>
      <c r="U103" s="32">
        <v>3.3923311251988504</v>
      </c>
      <c r="V103" s="32">
        <v>4.2157717421609906</v>
      </c>
      <c r="W103" s="33">
        <v>1.9775555555555557</v>
      </c>
      <c r="X103" s="33">
        <v>-1.5300894159999956</v>
      </c>
    </row>
    <row r="104" spans="1:24" x14ac:dyDescent="0.15">
      <c r="A104" s="29" t="s">
        <v>65</v>
      </c>
      <c r="B104" s="30">
        <v>15.555600218758547</v>
      </c>
      <c r="C104" s="31">
        <v>4.4039491065841617E-2</v>
      </c>
      <c r="D104" s="31">
        <v>0.11479093520587298</v>
      </c>
      <c r="E104" s="31">
        <v>0.44681247724238377</v>
      </c>
      <c r="F104" s="31">
        <v>1.1208249749247747E-2</v>
      </c>
      <c r="G104" s="31">
        <v>9.9576894223555885E-3</v>
      </c>
      <c r="H104" s="31">
        <v>2.9123795691115947E-2</v>
      </c>
      <c r="I104" s="31">
        <v>1.2964285714285719E-3</v>
      </c>
      <c r="J104" s="31">
        <v>3.4353941267387948E-3</v>
      </c>
      <c r="K104" s="31">
        <v>6.28981310871282E-3</v>
      </c>
      <c r="L104" s="31">
        <v>1.2213588317107093E-2</v>
      </c>
      <c r="M104" s="31">
        <v>1.4010521739130434E-2</v>
      </c>
      <c r="N104" s="31">
        <v>1.4384539877300612E-2</v>
      </c>
      <c r="O104" s="31">
        <v>2.3592484516436401E-2</v>
      </c>
      <c r="P104" s="31">
        <v>1.7480165026975561E-3</v>
      </c>
      <c r="Q104" s="32">
        <v>13.68008504775381</v>
      </c>
      <c r="R104" s="32">
        <v>4.6406010707446281</v>
      </c>
      <c r="S104" s="32">
        <v>63.81164050952794</v>
      </c>
      <c r="T104" s="32">
        <v>1.0152328756229456</v>
      </c>
      <c r="U104" s="32">
        <v>3.4373250706365601</v>
      </c>
      <c r="V104" s="32">
        <v>4.2158774183457677</v>
      </c>
      <c r="W104" s="33">
        <v>1.7379999999999998</v>
      </c>
      <c r="X104" s="33">
        <v>-1.1707293400000047</v>
      </c>
    </row>
    <row r="105" spans="1:24" x14ac:dyDescent="0.15">
      <c r="A105" s="29" t="s">
        <v>66</v>
      </c>
      <c r="B105" s="30">
        <v>15.673939841400056</v>
      </c>
      <c r="C105" s="31">
        <v>1.5435409858861155E-2</v>
      </c>
      <c r="D105" s="31">
        <v>0</v>
      </c>
      <c r="E105" s="31">
        <v>0.23217186551765995</v>
      </c>
      <c r="F105" s="31">
        <v>4.9524824473420274E-3</v>
      </c>
      <c r="G105" s="31">
        <v>5.5195798949737428E-3</v>
      </c>
      <c r="H105" s="31">
        <v>1.9079193899782135E-2</v>
      </c>
      <c r="I105" s="31">
        <v>7.5000000000000056E-4</v>
      </c>
      <c r="J105" s="31">
        <v>3.7156877897990721E-3</v>
      </c>
      <c r="K105" s="31">
        <v>1.1032798104764412E-2</v>
      </c>
      <c r="L105" s="31">
        <v>1.2092878998609181E-2</v>
      </c>
      <c r="M105" s="31">
        <v>9.3216521739130434E-3</v>
      </c>
      <c r="N105" s="31">
        <v>8.7283435582822082E-3</v>
      </c>
      <c r="O105" s="31">
        <v>1.2950809909480707E-2</v>
      </c>
      <c r="P105" s="31">
        <v>1.553792446842272E-3</v>
      </c>
      <c r="Q105" s="32">
        <v>10.232963444047183</v>
      </c>
      <c r="R105" s="32">
        <v>2.662509959602454</v>
      </c>
      <c r="S105" s="32">
        <v>47.914970230600339</v>
      </c>
      <c r="T105" s="32">
        <v>0.77985871063513956</v>
      </c>
      <c r="U105" s="32">
        <v>1.5439957736780869</v>
      </c>
      <c r="V105" s="32">
        <v>1.4997035762616202</v>
      </c>
      <c r="W105" s="33">
        <v>2.071625</v>
      </c>
      <c r="X105" s="33">
        <v>-0.98474417200000275</v>
      </c>
    </row>
    <row r="106" spans="1:24" x14ac:dyDescent="0.15">
      <c r="A106" s="29" t="s">
        <v>67</v>
      </c>
      <c r="B106" s="30">
        <v>15.792279464041567</v>
      </c>
      <c r="C106" s="31">
        <v>4.4027497740387958E-2</v>
      </c>
      <c r="D106" s="31">
        <v>0.10226619853175868</v>
      </c>
      <c r="E106" s="31">
        <v>0.47156839422259994</v>
      </c>
      <c r="F106" s="31">
        <v>1.114569207622869E-2</v>
      </c>
      <c r="G106" s="31">
        <v>9.8527489015110929E-3</v>
      </c>
      <c r="H106" s="31">
        <v>2.9956221253933667E-2</v>
      </c>
      <c r="I106" s="31">
        <v>1.382142857142858E-3</v>
      </c>
      <c r="J106" s="31">
        <v>3.6366306027820717E-3</v>
      </c>
      <c r="K106" s="31">
        <v>6.4295867333508819E-3</v>
      </c>
      <c r="L106" s="31">
        <v>1.1829513212795555E-2</v>
      </c>
      <c r="M106" s="31">
        <v>1.4717217391304348E-2</v>
      </c>
      <c r="N106" s="31">
        <v>1.2221595092024541E-2</v>
      </c>
      <c r="O106" s="31">
        <v>2.11359575988566E-2</v>
      </c>
      <c r="P106" s="31">
        <v>1.304075803599764E-3</v>
      </c>
      <c r="Q106" s="32">
        <v>14.07662630022929</v>
      </c>
      <c r="R106" s="32">
        <v>4.9508697353890874</v>
      </c>
      <c r="S106" s="32">
        <v>63.378365651334384</v>
      </c>
      <c r="T106" s="32">
        <v>1.1046042307284487</v>
      </c>
      <c r="U106" s="32">
        <v>3.4774592207422175</v>
      </c>
      <c r="V106" s="32">
        <v>4.3994580865402275</v>
      </c>
      <c r="W106" s="33">
        <v>2.1107142857142853</v>
      </c>
      <c r="X106" s="33">
        <v>-1.0867071314285788</v>
      </c>
    </row>
    <row r="107" spans="1:24" x14ac:dyDescent="0.15">
      <c r="A107" s="29" t="s">
        <v>68</v>
      </c>
      <c r="B107" s="30">
        <v>15.910619086683075</v>
      </c>
      <c r="C107" s="31">
        <v>4.2419818934662089E-2</v>
      </c>
      <c r="D107" s="31">
        <v>9.9606099110546353E-2</v>
      </c>
      <c r="E107" s="31">
        <v>0.46554378353878134</v>
      </c>
      <c r="F107" s="31">
        <v>1.0344680851063832E-2</v>
      </c>
      <c r="G107" s="31">
        <v>8.8878873239436607E-3</v>
      </c>
      <c r="H107" s="31">
        <v>2.6581061838893413E-2</v>
      </c>
      <c r="I107" s="31">
        <v>1.3668224299065422E-3</v>
      </c>
      <c r="J107" s="31">
        <v>3.2503464203233259E-3</v>
      </c>
      <c r="K107" s="31">
        <v>5.5386466969778014E-3</v>
      </c>
      <c r="L107" s="31">
        <v>1.1957202389220725E-2</v>
      </c>
      <c r="M107" s="31">
        <v>1.4147906439503321E-2</v>
      </c>
      <c r="N107" s="31">
        <v>1.2700968523002424E-2</v>
      </c>
      <c r="O107" s="31">
        <v>2.2396230916030536E-2</v>
      </c>
      <c r="P107" s="31">
        <v>1.5249169435215945E-3</v>
      </c>
      <c r="Q107" s="32">
        <v>14.114052093937488</v>
      </c>
      <c r="R107" s="32">
        <v>4.8880692216998565</v>
      </c>
      <c r="S107" s="32">
        <v>64.969483290711636</v>
      </c>
      <c r="T107" s="32">
        <v>0.85152744851744389</v>
      </c>
      <c r="U107" s="32">
        <v>3.3519045363053621</v>
      </c>
      <c r="V107" s="32">
        <v>4.3312816014370608</v>
      </c>
      <c r="W107" s="33">
        <v>1.797666666666667</v>
      </c>
      <c r="X107" s="33">
        <v>-1.4942541057142904</v>
      </c>
    </row>
    <row r="108" spans="1:24" x14ac:dyDescent="0.15">
      <c r="A108" s="29" t="s">
        <v>69</v>
      </c>
      <c r="B108" s="30">
        <v>16.028958709324584</v>
      </c>
      <c r="C108" s="31">
        <v>4.4332584742788977E-2</v>
      </c>
      <c r="D108" s="31">
        <v>0.11550190597204574</v>
      </c>
      <c r="E108" s="31">
        <v>0.48253255740544376</v>
      </c>
      <c r="F108" s="31">
        <v>8.9894281914893633E-3</v>
      </c>
      <c r="G108" s="31">
        <v>9.3448692152917484E-3</v>
      </c>
      <c r="H108" s="31">
        <v>2.876350691619203E-2</v>
      </c>
      <c r="I108" s="31">
        <v>1.4719626168224306E-3</v>
      </c>
      <c r="J108" s="31">
        <v>3.4364896073903009E-3</v>
      </c>
      <c r="K108" s="31">
        <v>6.5611660871890886E-3</v>
      </c>
      <c r="L108" s="31">
        <v>1.1880483400472286E-2</v>
      </c>
      <c r="M108" s="31">
        <v>1.449434016748484E-2</v>
      </c>
      <c r="N108" s="31">
        <v>1.3078692493946732E-2</v>
      </c>
      <c r="O108" s="31">
        <v>2.2868559160305349E-2</v>
      </c>
      <c r="P108" s="31">
        <v>1.5707102451288498E-3</v>
      </c>
      <c r="Q108" s="32">
        <v>13.901889618848193</v>
      </c>
      <c r="R108" s="32">
        <v>5.2608228463181561</v>
      </c>
      <c r="S108" s="32">
        <v>64.69092077256947</v>
      </c>
      <c r="T108" s="32">
        <v>1.1016780040336849</v>
      </c>
      <c r="U108" s="32">
        <v>3.3632192298933905</v>
      </c>
      <c r="V108" s="32">
        <v>4.3889087038033994</v>
      </c>
      <c r="W108" s="33">
        <v>1.8823999999999999</v>
      </c>
      <c r="X108" s="33">
        <v>-1.0245149920000003</v>
      </c>
    </row>
    <row r="109" spans="1:24" x14ac:dyDescent="0.15">
      <c r="A109" s="29" t="s">
        <v>70</v>
      </c>
      <c r="B109" s="30">
        <v>16.147298331966095</v>
      </c>
      <c r="C109" s="31">
        <v>4.3376201838725537E-2</v>
      </c>
      <c r="D109" s="31">
        <v>0.12179161372299874</v>
      </c>
      <c r="E109" s="31">
        <v>0.46689529020404508</v>
      </c>
      <c r="F109" s="31">
        <v>9.7478723404255327E-3</v>
      </c>
      <c r="G109" s="31">
        <v>1.0621408450704225E-2</v>
      </c>
      <c r="H109" s="31">
        <v>3.1147408462164367E-2</v>
      </c>
      <c r="I109" s="31">
        <v>1.4719626168224306E-3</v>
      </c>
      <c r="J109" s="31">
        <v>3.4508083140877598E-3</v>
      </c>
      <c r="K109" s="31">
        <v>6.0783097084782028E-3</v>
      </c>
      <c r="L109" s="31">
        <v>1.2592874010279205E-2</v>
      </c>
      <c r="M109" s="31">
        <v>1.5142506497256712E-2</v>
      </c>
      <c r="N109" s="31">
        <v>1.2474334140435837E-2</v>
      </c>
      <c r="O109" s="31">
        <v>2.2091185591603058E-2</v>
      </c>
      <c r="P109" s="31">
        <v>1.3783783783783781E-3</v>
      </c>
      <c r="Q109" s="32">
        <v>14.270430598853679</v>
      </c>
      <c r="R109" s="32">
        <v>5.3307044018331506</v>
      </c>
      <c r="S109" s="32">
        <v>63.862513767671174</v>
      </c>
      <c r="T109" s="32">
        <v>1.0323052597126885</v>
      </c>
      <c r="U109" s="32">
        <v>3.5134504032184175</v>
      </c>
      <c r="V109" s="32">
        <v>4.4921393073857736</v>
      </c>
      <c r="W109" s="33">
        <v>2.1143999999999998</v>
      </c>
      <c r="X109" s="33">
        <v>-0.75994896571428328</v>
      </c>
    </row>
    <row r="110" spans="1:24" x14ac:dyDescent="0.15">
      <c r="A110" s="29" t="s">
        <v>71</v>
      </c>
      <c r="B110" s="30">
        <v>16.265637954607605</v>
      </c>
      <c r="C110" s="31">
        <v>4.2722471752403686E-2</v>
      </c>
      <c r="D110" s="31">
        <v>0.11287166454891993</v>
      </c>
      <c r="E110" s="31">
        <v>0.44935921198533391</v>
      </c>
      <c r="F110" s="31">
        <v>1.0354627659574468E-2</v>
      </c>
      <c r="G110" s="31">
        <v>9.2997183098591524E-3</v>
      </c>
      <c r="H110" s="31">
        <v>2.9882709519934911E-2</v>
      </c>
      <c r="I110" s="31">
        <v>1.4614485981308417E-3</v>
      </c>
      <c r="J110" s="31">
        <v>3.6226327944572749E-3</v>
      </c>
      <c r="K110" s="31">
        <v>6.6653115806365347E-3</v>
      </c>
      <c r="L110" s="31">
        <v>1.330526462008612E-2</v>
      </c>
      <c r="M110" s="31">
        <v>1.543306381749928E-2</v>
      </c>
      <c r="N110" s="31">
        <v>1.1737772397094432E-2</v>
      </c>
      <c r="O110" s="31">
        <v>1.874552719465649E-2</v>
      </c>
      <c r="P110" s="31">
        <v>2.1980784771482445E-3</v>
      </c>
      <c r="Q110" s="32">
        <v>14.411490189680887</v>
      </c>
      <c r="R110" s="32">
        <v>5.1876525940871474</v>
      </c>
      <c r="S110" s="32">
        <v>62.473732645430417</v>
      </c>
      <c r="T110" s="32">
        <v>0.92680556046988927</v>
      </c>
      <c r="U110" s="32">
        <v>3.5021458391680684</v>
      </c>
      <c r="V110" s="32">
        <v>4.5334126305651656</v>
      </c>
      <c r="W110" s="33">
        <v>1.7186666666666666</v>
      </c>
      <c r="X110" s="33">
        <v>-1.0159572600000004</v>
      </c>
    </row>
    <row r="111" spans="1:24" x14ac:dyDescent="0.15">
      <c r="A111" s="29" t="s">
        <v>72</v>
      </c>
      <c r="B111" s="30">
        <v>16.383977577249112</v>
      </c>
      <c r="C111" s="31">
        <v>4.2516667836339402E-2</v>
      </c>
      <c r="D111" s="31">
        <v>0.10909783989834812</v>
      </c>
      <c r="E111" s="31">
        <v>0.44950441518077544</v>
      </c>
      <c r="F111" s="31">
        <v>1.0464042553191489E-2</v>
      </c>
      <c r="G111" s="31">
        <v>1.0659718309859154E-2</v>
      </c>
      <c r="H111" s="31">
        <v>3.0845223759153786E-2</v>
      </c>
      <c r="I111" s="31">
        <v>1.587616822429907E-3</v>
      </c>
      <c r="J111" s="31">
        <v>3.7801385681293298E-3</v>
      </c>
      <c r="K111" s="31">
        <v>7.4606044396897577E-3</v>
      </c>
      <c r="L111" s="31">
        <v>1.3009348520627866E-2</v>
      </c>
      <c r="M111" s="31">
        <v>1.4986052555587638E-2</v>
      </c>
      <c r="N111" s="31">
        <v>1.2408232445520582E-2</v>
      </c>
      <c r="O111" s="31">
        <v>1.9276896469465652E-2</v>
      </c>
      <c r="P111" s="31">
        <v>2.143126515219538E-3</v>
      </c>
      <c r="Q111" s="32">
        <v>14.191444005388997</v>
      </c>
      <c r="R111" s="32">
        <v>5.6799561937931324</v>
      </c>
      <c r="S111" s="32">
        <v>62.376238480703613</v>
      </c>
      <c r="T111" s="32">
        <v>0.94678981494586389</v>
      </c>
      <c r="U111" s="32">
        <v>3.4426348053008624</v>
      </c>
      <c r="V111" s="32">
        <v>4.4287736681067935</v>
      </c>
      <c r="W111" s="33">
        <v>1.4828571428571429</v>
      </c>
      <c r="X111" s="33">
        <v>-1.2220110639999966</v>
      </c>
    </row>
    <row r="112" spans="1:24" x14ac:dyDescent="0.15">
      <c r="A112" s="29" t="s">
        <v>73</v>
      </c>
      <c r="B112" s="30">
        <v>16.502317199890623</v>
      </c>
      <c r="C112" s="31">
        <v>4.402993192504738E-2</v>
      </c>
      <c r="D112" s="31">
        <v>0.1312833545108005</v>
      </c>
      <c r="E112" s="31">
        <v>0.45967980833825689</v>
      </c>
      <c r="F112" s="31">
        <v>9.2132313829787239E-3</v>
      </c>
      <c r="G112" s="31">
        <v>1.0104225352112675E-2</v>
      </c>
      <c r="H112" s="31">
        <v>3.0196086248982915E-2</v>
      </c>
      <c r="I112" s="31">
        <v>1.4929906542056079E-3</v>
      </c>
      <c r="J112" s="31">
        <v>3.708545034642032E-3</v>
      </c>
      <c r="K112" s="31">
        <v>6.6179727199786051E-3</v>
      </c>
      <c r="L112" s="31">
        <v>1.2899749965272954E-2</v>
      </c>
      <c r="M112" s="31">
        <v>1.4941351429396475E-2</v>
      </c>
      <c r="N112" s="31">
        <v>1.1142857142857145E-2</v>
      </c>
      <c r="O112" s="31">
        <v>2.0024749522900766E-2</v>
      </c>
      <c r="P112" s="31">
        <v>1.7021370207416719E-3</v>
      </c>
      <c r="Q112" s="32">
        <v>14.180879237051764</v>
      </c>
      <c r="R112" s="32">
        <v>5.351060524589192</v>
      </c>
      <c r="S112" s="32">
        <v>63.852918655382517</v>
      </c>
      <c r="T112" s="32">
        <v>0.92571235227513982</v>
      </c>
      <c r="U112" s="32">
        <v>3.5074334578367803</v>
      </c>
      <c r="V112" s="32">
        <v>4.3992296621334628</v>
      </c>
      <c r="W112" s="33">
        <v>1.9145000000000001</v>
      </c>
      <c r="X112" s="33">
        <v>-1.2505539025000019</v>
      </c>
    </row>
    <row r="113" spans="1:24" x14ac:dyDescent="0.15">
      <c r="A113" s="29" t="s">
        <v>74</v>
      </c>
      <c r="B113" s="30">
        <v>16.620656822532133</v>
      </c>
      <c r="C113" s="31">
        <v>4.1729770510211255E-2</v>
      </c>
      <c r="D113" s="31">
        <v>0.10212198221092757</v>
      </c>
      <c r="E113" s="31">
        <v>0.46079675599549969</v>
      </c>
      <c r="F113" s="31">
        <v>1.0374521276595744E-2</v>
      </c>
      <c r="G113" s="31">
        <v>9.6828169014084482E-3</v>
      </c>
      <c r="H113" s="31">
        <v>3.0184894222945485E-2</v>
      </c>
      <c r="I113" s="31">
        <v>1.545560747663552E-3</v>
      </c>
      <c r="J113" s="31">
        <v>3.5295612009237877E-3</v>
      </c>
      <c r="K113" s="31">
        <v>6.873602567531425E-3</v>
      </c>
      <c r="L113" s="31">
        <v>1.2077760800111125E-2</v>
      </c>
      <c r="M113" s="31">
        <v>1.4628443546058332E-2</v>
      </c>
      <c r="N113" s="31">
        <v>1.2106053268765137E-2</v>
      </c>
      <c r="O113" s="31">
        <v>1.8912810114503822E-2</v>
      </c>
      <c r="P113" s="31">
        <v>1.4424890006285356E-3</v>
      </c>
      <c r="Q113" s="32">
        <v>14.038214997448812</v>
      </c>
      <c r="R113" s="32">
        <v>5.4766679410589463</v>
      </c>
      <c r="S113" s="32">
        <v>63.354646538866383</v>
      </c>
      <c r="T113" s="32">
        <v>1.048948588210318</v>
      </c>
      <c r="U113" s="32">
        <v>3.3779779662924576</v>
      </c>
      <c r="V113" s="32">
        <v>4.2858042219114107</v>
      </c>
      <c r="W113" s="33">
        <v>2.0003333333333329</v>
      </c>
      <c r="X113" s="33">
        <v>-1.0599622942857145</v>
      </c>
    </row>
    <row r="114" spans="1:24" x14ac:dyDescent="0.15">
      <c r="A114" s="29" t="s">
        <v>75</v>
      </c>
      <c r="B114" s="30">
        <v>16.738996445173644</v>
      </c>
      <c r="C114" s="31">
        <v>4.1458766098878282E-2</v>
      </c>
      <c r="D114" s="31">
        <v>0.1150450878025629</v>
      </c>
      <c r="E114" s="31">
        <v>0.45244072073237784</v>
      </c>
      <c r="F114" s="31">
        <v>1.0270010020040079E-2</v>
      </c>
      <c r="G114" s="31">
        <v>9.4993084370677758E-3</v>
      </c>
      <c r="H114" s="31">
        <v>2.9354942989088237E-2</v>
      </c>
      <c r="I114" s="31">
        <v>1.5178147268408554E-3</v>
      </c>
      <c r="J114" s="31">
        <v>3.5995373939861209E-3</v>
      </c>
      <c r="K114" s="31">
        <v>6.6328025477707031E-3</v>
      </c>
      <c r="L114" s="31">
        <v>1.2903896648044698E-2</v>
      </c>
      <c r="M114" s="31">
        <v>1.4702424942263282E-2</v>
      </c>
      <c r="N114" s="31">
        <v>1.6900532568619411E-2</v>
      </c>
      <c r="O114" s="31">
        <v>2.0560438237418734E-2</v>
      </c>
      <c r="P114" s="31">
        <v>1.5504439063761101E-3</v>
      </c>
      <c r="Q114" s="32">
        <v>14.398082204672892</v>
      </c>
      <c r="R114" s="32">
        <v>5.3348910548198951</v>
      </c>
      <c r="S114" s="32">
        <v>63.954033876628166</v>
      </c>
      <c r="T114" s="32">
        <v>0.95985465922141711</v>
      </c>
      <c r="U114" s="32">
        <v>3.4125878247014478</v>
      </c>
      <c r="V114" s="32">
        <v>4.4139911453870333</v>
      </c>
      <c r="W114" s="33">
        <v>1.4273333333333333</v>
      </c>
      <c r="X114" s="33">
        <v>-1.5622940799999974</v>
      </c>
    </row>
    <row r="115" spans="1:24" x14ac:dyDescent="0.15">
      <c r="A115" s="29" t="s">
        <v>76</v>
      </c>
      <c r="B115" s="30">
        <v>16.857336067815151</v>
      </c>
      <c r="C115" s="31">
        <v>4.2366535105941017E-2</v>
      </c>
      <c r="D115" s="31">
        <v>9.9895586141433332E-2</v>
      </c>
      <c r="E115" s="31">
        <v>0.4787121922815642</v>
      </c>
      <c r="F115" s="31">
        <v>1.0739879759519039E-2</v>
      </c>
      <c r="G115" s="31">
        <v>1.0552697095435687E-2</v>
      </c>
      <c r="H115" s="31">
        <v>2.9737198087375856E-2</v>
      </c>
      <c r="I115" s="31">
        <v>1.5285035629453686E-3</v>
      </c>
      <c r="J115" s="31">
        <v>3.7572860447185807E-3</v>
      </c>
      <c r="K115" s="31">
        <v>6.3885350318471333E-3</v>
      </c>
      <c r="L115" s="31">
        <v>1.3664245810055868E-2</v>
      </c>
      <c r="M115" s="31">
        <v>1.5350404157043881E-2</v>
      </c>
      <c r="N115" s="31">
        <v>1.4590249897582952E-2</v>
      </c>
      <c r="O115" s="31">
        <v>1.9457921984107871E-2</v>
      </c>
      <c r="P115" s="31">
        <v>1.7425343018563362E-3</v>
      </c>
      <c r="Q115" s="32">
        <v>14.418139732557334</v>
      </c>
      <c r="R115" s="32">
        <v>5.4532630349964526</v>
      </c>
      <c r="S115" s="32">
        <v>63.405835326604127</v>
      </c>
      <c r="T115" s="32">
        <v>0.89783018494317068</v>
      </c>
      <c r="U115" s="32">
        <v>3.4507080582147784</v>
      </c>
      <c r="V115" s="32">
        <v>4.5744618680377043</v>
      </c>
      <c r="W115" s="33">
        <v>1.4325999999999999</v>
      </c>
      <c r="X115" s="33">
        <v>-1.754196369999999</v>
      </c>
    </row>
    <row r="116" spans="1:24" x14ac:dyDescent="0.15">
      <c r="A116" s="29" t="s">
        <v>77</v>
      </c>
      <c r="B116" s="30">
        <v>16.975675690456661</v>
      </c>
      <c r="C116" s="31">
        <v>4.3620689655172427E-2</v>
      </c>
      <c r="D116" s="31">
        <v>0.10536307546274322</v>
      </c>
      <c r="E116" s="31">
        <v>0.47723902565263798</v>
      </c>
      <c r="F116" s="31">
        <v>1.1202805611222444E-2</v>
      </c>
      <c r="G116" s="31">
        <v>1.0703181189488244E-2</v>
      </c>
      <c r="H116" s="31">
        <v>3.2772753279659977E-2</v>
      </c>
      <c r="I116" s="31">
        <v>1.5926365795724468E-3</v>
      </c>
      <c r="J116" s="31">
        <v>3.9652274479568227E-3</v>
      </c>
      <c r="K116" s="31">
        <v>6.4542993630573257E-3</v>
      </c>
      <c r="L116" s="31">
        <v>1.319040502793296E-2</v>
      </c>
      <c r="M116" s="31">
        <v>1.5909006928406466E-2</v>
      </c>
      <c r="N116" s="31">
        <v>1.2260794756247436E-2</v>
      </c>
      <c r="O116" s="31">
        <v>1.7799181314712254E-2</v>
      </c>
      <c r="P116" s="31">
        <v>1.811138014527845E-3</v>
      </c>
      <c r="Q116" s="32">
        <v>14.555219523927255</v>
      </c>
      <c r="R116" s="32">
        <v>5.7567283439741468</v>
      </c>
      <c r="S116" s="32">
        <v>62.472864810160296</v>
      </c>
      <c r="T116" s="32">
        <v>1.0790144284714798</v>
      </c>
      <c r="U116" s="32">
        <v>3.6557855222789963</v>
      </c>
      <c r="V116" s="32">
        <v>4.6811605255641249</v>
      </c>
      <c r="W116" s="33">
        <v>1.8566666666666667</v>
      </c>
      <c r="X116" s="33">
        <v>-1.2153040685714309</v>
      </c>
    </row>
    <row r="117" spans="1:24" x14ac:dyDescent="0.15">
      <c r="A117" s="29" t="s">
        <v>78</v>
      </c>
      <c r="B117" s="30">
        <v>17.094015313098172</v>
      </c>
      <c r="C117" s="31">
        <v>4.3357914416285837E-2</v>
      </c>
      <c r="D117" s="31">
        <v>0.13623160892263877</v>
      </c>
      <c r="E117" s="31">
        <v>0.45571070423446436</v>
      </c>
      <c r="F117" s="31">
        <v>1.1582404809619239E-2</v>
      </c>
      <c r="G117" s="31">
        <v>9.6591977869986186E-3</v>
      </c>
      <c r="H117" s="31">
        <v>3.6527847480485508E-2</v>
      </c>
      <c r="I117" s="31">
        <v>1.6033254156769597E-3</v>
      </c>
      <c r="J117" s="31">
        <v>4.1946800308404007E-3</v>
      </c>
      <c r="K117" s="31">
        <v>6.9710191082802565E-3</v>
      </c>
      <c r="L117" s="31">
        <v>1.3113268156424579E-2</v>
      </c>
      <c r="M117" s="31">
        <v>1.5395092378752889E-2</v>
      </c>
      <c r="N117" s="31">
        <v>1.308521097910692E-2</v>
      </c>
      <c r="O117" s="31">
        <v>1.7431675896941973E-2</v>
      </c>
      <c r="P117" s="31">
        <v>2.1541565778853918E-3</v>
      </c>
      <c r="Q117" s="32">
        <v>14.318382556696934</v>
      </c>
      <c r="R117" s="32">
        <v>5.9702366595727927</v>
      </c>
      <c r="S117" s="32">
        <v>59.784772899011472</v>
      </c>
      <c r="T117" s="32">
        <v>1.561559146172429</v>
      </c>
      <c r="U117" s="32">
        <v>3.6910778755879381</v>
      </c>
      <c r="V117" s="32">
        <v>4.5944678663239085</v>
      </c>
      <c r="W117" s="33">
        <v>0.74155555555555563</v>
      </c>
      <c r="X117" s="33">
        <v>-1.3742179800000009</v>
      </c>
    </row>
    <row r="118" spans="1:24" x14ac:dyDescent="0.15">
      <c r="A118" s="29" t="s">
        <v>79</v>
      </c>
      <c r="B118" s="30">
        <v>17.212354935739679</v>
      </c>
      <c r="C118" s="31">
        <v>4.5794557540506861E-2</v>
      </c>
      <c r="D118" s="31">
        <v>0.11903179876601799</v>
      </c>
      <c r="E118" s="31">
        <v>0.43091239931420433</v>
      </c>
      <c r="F118" s="31">
        <v>1.1228266533066132E-2</v>
      </c>
      <c r="G118" s="31">
        <v>1.0298755186721992E-2</v>
      </c>
      <c r="H118" s="31">
        <v>3.7629641587314556E-2</v>
      </c>
      <c r="I118" s="31">
        <v>1.5178147268408554E-3</v>
      </c>
      <c r="J118" s="31">
        <v>3.8648419429452587E-3</v>
      </c>
      <c r="K118" s="31">
        <v>7.4125796178343964E-3</v>
      </c>
      <c r="L118" s="31">
        <v>1.2595349162011176E-2</v>
      </c>
      <c r="M118" s="31">
        <v>1.5115790993071596E-2</v>
      </c>
      <c r="N118" s="31">
        <v>1.1733551823023347E-2</v>
      </c>
      <c r="O118" s="31">
        <v>1.671653021911871E-2</v>
      </c>
      <c r="P118" s="31">
        <v>2.2410546139359703E-3</v>
      </c>
      <c r="Q118" s="32">
        <v>13.911136672420451</v>
      </c>
      <c r="R118" s="32">
        <v>5.5728552110427989</v>
      </c>
      <c r="S118" s="32">
        <v>60.161783898726199</v>
      </c>
      <c r="T118" s="32">
        <v>1.91222816258102</v>
      </c>
      <c r="U118" s="32">
        <v>3.7483194795807728</v>
      </c>
      <c r="V118" s="32">
        <v>4.4371359611539578</v>
      </c>
      <c r="W118" s="33">
        <v>0.78988888888888886</v>
      </c>
      <c r="X118" s="33">
        <v>-1.1974279857142882</v>
      </c>
    </row>
    <row r="119" spans="1:24" x14ac:dyDescent="0.15">
      <c r="A119" s="29" t="s">
        <v>80</v>
      </c>
      <c r="B119" s="30">
        <v>17.33069455838119</v>
      </c>
      <c r="C119" s="31">
        <v>4.6117054424594947E-2</v>
      </c>
      <c r="D119" s="31">
        <v>0.11925961082107259</v>
      </c>
      <c r="E119" s="31">
        <v>0.44349011742632549</v>
      </c>
      <c r="F119" s="31">
        <v>1.2644819639278559E-2</v>
      </c>
      <c r="G119" s="31">
        <v>1.010124481327801E-2</v>
      </c>
      <c r="H119" s="31">
        <v>3.8596522130042096E-2</v>
      </c>
      <c r="I119" s="31">
        <v>1.6033254156769597E-3</v>
      </c>
      <c r="J119" s="31">
        <v>4.0225905936777167E-3</v>
      </c>
      <c r="K119" s="31">
        <v>7.1213375796178365E-3</v>
      </c>
      <c r="L119" s="31">
        <v>1.2452094972067042E-2</v>
      </c>
      <c r="M119" s="31">
        <v>1.5171651270207854E-2</v>
      </c>
      <c r="N119" s="31">
        <v>1.0947480540761979E-2</v>
      </c>
      <c r="O119" s="31">
        <v>1.695491211172646E-2</v>
      </c>
      <c r="P119" s="31">
        <v>1.6861268047708726E-3</v>
      </c>
      <c r="Q119" s="32">
        <v>14.046454924415293</v>
      </c>
      <c r="R119" s="32">
        <v>6.0060507064317799</v>
      </c>
      <c r="S119" s="32">
        <v>60.15245549975532</v>
      </c>
      <c r="T119" s="32">
        <v>1.8179818621044714</v>
      </c>
      <c r="U119" s="32">
        <v>3.7497078972984519</v>
      </c>
      <c r="V119" s="32">
        <v>4.5176672379320202</v>
      </c>
      <c r="W119" s="33">
        <v>0.80449999999999988</v>
      </c>
      <c r="X119" s="33">
        <v>-1.1240390439999999</v>
      </c>
    </row>
    <row r="120" spans="1:24" x14ac:dyDescent="0.15">
      <c r="A120" s="29" t="s">
        <v>81</v>
      </c>
      <c r="B120" s="30">
        <v>17.4490341810227</v>
      </c>
      <c r="C120" s="31">
        <v>4.5280951391774002E-2</v>
      </c>
      <c r="D120" s="31">
        <v>0.15229235880398667</v>
      </c>
      <c r="E120" s="31">
        <v>0.41766506000711673</v>
      </c>
      <c r="F120" s="31">
        <v>1.0853296593186375E-2</v>
      </c>
      <c r="G120" s="31">
        <v>9.5698478561549102E-3</v>
      </c>
      <c r="H120" s="31">
        <v>3.6730217826637795E-2</v>
      </c>
      <c r="I120" s="31">
        <v>1.4964370546318294E-3</v>
      </c>
      <c r="J120" s="31">
        <v>3.9508866615265989E-3</v>
      </c>
      <c r="K120" s="31">
        <v>6.8207006369426764E-3</v>
      </c>
      <c r="L120" s="31">
        <v>1.1790921787709496E-2</v>
      </c>
      <c r="M120" s="31">
        <v>1.4970554272517322E-2</v>
      </c>
      <c r="N120" s="31">
        <v>1.0583203605079883E-2</v>
      </c>
      <c r="O120" s="31">
        <v>1.6100710329882011E-2</v>
      </c>
      <c r="P120" s="31">
        <v>1.3446327683615822E-3</v>
      </c>
      <c r="Q120" s="32">
        <v>13.859631663192236</v>
      </c>
      <c r="R120" s="32">
        <v>5.5980120152518333</v>
      </c>
      <c r="S120" s="32">
        <v>59.560042297899614</v>
      </c>
      <c r="T120" s="32">
        <v>2.1345790925771917</v>
      </c>
      <c r="U120" s="32">
        <v>3.7965669952701151</v>
      </c>
      <c r="V120" s="32">
        <v>4.383945158526136</v>
      </c>
      <c r="W120" s="33">
        <v>0.75637500000000002</v>
      </c>
      <c r="X120" s="33">
        <v>-1.1666644942857154</v>
      </c>
    </row>
    <row r="121" spans="1:24" x14ac:dyDescent="0.15">
      <c r="A121" s="29" t="s">
        <v>82</v>
      </c>
      <c r="B121" s="30">
        <v>17.567373803664207</v>
      </c>
      <c r="C121" s="31">
        <v>4.4797255038221004E-2</v>
      </c>
      <c r="D121" s="31">
        <v>0.13231825273010916</v>
      </c>
      <c r="E121" s="31">
        <v>0.44141256366723264</v>
      </c>
      <c r="F121" s="31">
        <v>9.939798994974873E-3</v>
      </c>
      <c r="G121" s="31">
        <v>1.0518285214348208E-2</v>
      </c>
      <c r="H121" s="31">
        <v>3.8670818677986669E-2</v>
      </c>
      <c r="I121" s="31">
        <v>1.5807962529274006E-3</v>
      </c>
      <c r="J121" s="31">
        <v>3.6987022900763365E-3</v>
      </c>
      <c r="K121" s="31">
        <v>6.7838056680161957E-3</v>
      </c>
      <c r="L121" s="31">
        <v>1.1913987764182427E-2</v>
      </c>
      <c r="M121" s="31">
        <v>1.487864105504587E-2</v>
      </c>
      <c r="N121" s="31">
        <v>1.1077608247422677E-2</v>
      </c>
      <c r="O121" s="31">
        <v>1.6482517070873559E-2</v>
      </c>
      <c r="P121" s="31">
        <v>1.0935423197492166E-3</v>
      </c>
      <c r="Q121" s="32">
        <v>14.125173806393569</v>
      </c>
      <c r="R121" s="32">
        <v>5.7671690790184345</v>
      </c>
      <c r="S121" s="32">
        <v>60.623759709620657</v>
      </c>
      <c r="T121" s="32">
        <v>2.012419951947185</v>
      </c>
      <c r="U121" s="32">
        <v>3.8079816477661752</v>
      </c>
      <c r="V121" s="32">
        <v>4.498211176582398</v>
      </c>
      <c r="W121" s="33">
        <v>0.73974999999999991</v>
      </c>
      <c r="X121" s="33">
        <v>-0.81479666799999961</v>
      </c>
    </row>
    <row r="122" spans="1:24" x14ac:dyDescent="0.15">
      <c r="A122" s="29" t="s">
        <v>83</v>
      </c>
      <c r="B122" s="30">
        <v>17.685713426305718</v>
      </c>
      <c r="C122" s="31">
        <v>4.6259728978457294E-2</v>
      </c>
      <c r="D122" s="31">
        <v>0.15995007800312008</v>
      </c>
      <c r="E122" s="31">
        <v>0.43369197186514674</v>
      </c>
      <c r="F122" s="31">
        <v>1.0218391959798994E-2</v>
      </c>
      <c r="G122" s="31">
        <v>9.3046369203849538E-3</v>
      </c>
      <c r="H122" s="31">
        <v>3.9471594906003653E-2</v>
      </c>
      <c r="I122" s="31">
        <v>1.4859484777517569E-3</v>
      </c>
      <c r="J122" s="31">
        <v>3.7696946564885494E-3</v>
      </c>
      <c r="K122" s="31">
        <v>7.0704453441295554E-3</v>
      </c>
      <c r="L122" s="31">
        <v>1.1946899332591771E-2</v>
      </c>
      <c r="M122" s="31">
        <v>1.4334977064220185E-2</v>
      </c>
      <c r="N122" s="31">
        <v>1.0498639175257731E-2</v>
      </c>
      <c r="O122" s="31">
        <v>1.7210972451141986E-2</v>
      </c>
      <c r="P122" s="31">
        <v>8.6332288401253952E-4</v>
      </c>
      <c r="Q122" s="32">
        <v>13.759133440862083</v>
      </c>
      <c r="R122" s="32">
        <v>5.5082281980026924</v>
      </c>
      <c r="S122" s="32">
        <v>60.20441553963817</v>
      </c>
      <c r="T122" s="32">
        <v>3.3312083407825357</v>
      </c>
      <c r="U122" s="32">
        <v>3.8050375780087995</v>
      </c>
      <c r="V122" s="32">
        <v>4.3957561300133055</v>
      </c>
      <c r="W122" s="33">
        <v>0.48255555555555557</v>
      </c>
      <c r="X122" s="33">
        <v>-1.4569256574999976</v>
      </c>
    </row>
    <row r="123" spans="1:24" x14ac:dyDescent="0.15">
      <c r="A123" s="29" t="s">
        <v>84</v>
      </c>
      <c r="B123" s="30">
        <v>17.804053048947228</v>
      </c>
      <c r="C123" s="31">
        <v>4.5960041695621984E-2</v>
      </c>
      <c r="D123" s="31">
        <v>0.18578471138845548</v>
      </c>
      <c r="E123" s="31">
        <v>0.42310405044870247</v>
      </c>
      <c r="F123" s="31">
        <v>1.0865125628140704E-2</v>
      </c>
      <c r="G123" s="31">
        <v>1.0558740157480317E-2</v>
      </c>
      <c r="H123" s="31">
        <v>4.0183395997574284E-2</v>
      </c>
      <c r="I123" s="31">
        <v>1.5491803278688528E-3</v>
      </c>
      <c r="J123" s="31">
        <v>3.7341984732824421E-3</v>
      </c>
      <c r="K123" s="31">
        <v>6.5449392712550614E-3</v>
      </c>
      <c r="L123" s="31">
        <v>1.2528337041156844E-2</v>
      </c>
      <c r="M123" s="31">
        <v>1.4967402522935777E-2</v>
      </c>
      <c r="N123" s="31">
        <v>9.6880824742268008E-3</v>
      </c>
      <c r="O123" s="31">
        <v>1.5802625382623028E-2</v>
      </c>
      <c r="P123" s="31">
        <v>1.1510971786833858E-3</v>
      </c>
      <c r="Q123" s="32">
        <v>14.174937632495224</v>
      </c>
      <c r="R123" s="32">
        <v>5.6515092500761046</v>
      </c>
      <c r="S123" s="32">
        <v>59.296516110811865</v>
      </c>
      <c r="T123" s="32">
        <v>2.54214728928928</v>
      </c>
      <c r="U123" s="32">
        <v>3.9166482777073881</v>
      </c>
      <c r="V123" s="32">
        <v>4.6646373313058342</v>
      </c>
      <c r="W123" s="33">
        <v>0.6727777777777777</v>
      </c>
      <c r="X123" s="33">
        <v>-0.83197679999999963</v>
      </c>
    </row>
    <row r="124" spans="1:24" x14ac:dyDescent="0.15">
      <c r="A124" s="29" t="s">
        <v>85</v>
      </c>
      <c r="B124" s="30">
        <v>17.922392671588735</v>
      </c>
      <c r="C124" s="31">
        <v>4.5060979847116073E-2</v>
      </c>
      <c r="D124" s="31">
        <v>0.1588268330733229</v>
      </c>
      <c r="E124" s="31">
        <v>0.43918117875333501</v>
      </c>
      <c r="F124" s="31">
        <v>1.1203417085427134E-2</v>
      </c>
      <c r="G124" s="31">
        <v>1.0336237970253721E-2</v>
      </c>
      <c r="H124" s="31">
        <v>3.7925651910248645E-2</v>
      </c>
      <c r="I124" s="31">
        <v>1.5702576112412178E-3</v>
      </c>
      <c r="J124" s="31">
        <v>3.9116793893129781E-3</v>
      </c>
      <c r="K124" s="31">
        <v>7.2519838056680176E-3</v>
      </c>
      <c r="L124" s="31">
        <v>1.2451543381535037E-2</v>
      </c>
      <c r="M124" s="31">
        <v>1.5045068807339449E-2</v>
      </c>
      <c r="N124" s="31">
        <v>9.2538556701030911E-3</v>
      </c>
      <c r="O124" s="31">
        <v>1.6540793501295035E-2</v>
      </c>
      <c r="P124" s="31">
        <v>1.4868338557993735E-3</v>
      </c>
      <c r="Q124" s="32">
        <v>14.245212427275188</v>
      </c>
      <c r="R124" s="32">
        <v>5.572423284267999</v>
      </c>
      <c r="S124" s="32">
        <v>59.848530272184369</v>
      </c>
      <c r="T124" s="32">
        <v>1.903694398053468</v>
      </c>
      <c r="U124" s="32">
        <v>3.7759115913401389</v>
      </c>
      <c r="V124" s="32">
        <v>4.655280079832731</v>
      </c>
      <c r="W124" s="33">
        <v>1.1797499999999999</v>
      </c>
      <c r="X124" s="33">
        <v>-0.81036690999999905</v>
      </c>
    </row>
    <row r="125" spans="1:24" x14ac:dyDescent="0.15">
      <c r="A125" s="29" t="s">
        <v>86</v>
      </c>
      <c r="B125" s="30">
        <v>18.040732294230242</v>
      </c>
      <c r="C125" s="31">
        <v>4.2927206393328712E-2</v>
      </c>
      <c r="D125" s="31">
        <v>0.14602184087363496</v>
      </c>
      <c r="E125" s="31">
        <v>0.43484113509580408</v>
      </c>
      <c r="F125" s="31">
        <v>9.7631909547738708E-3</v>
      </c>
      <c r="G125" s="31">
        <v>9.719300087489063E-3</v>
      </c>
      <c r="H125" s="31">
        <v>3.3832795633717411E-2</v>
      </c>
      <c r="I125" s="31">
        <v>1.4437939110070262E-3</v>
      </c>
      <c r="J125" s="31">
        <v>3.5638167938931297E-3</v>
      </c>
      <c r="K125" s="31">
        <v>6.9175708502024306E-3</v>
      </c>
      <c r="L125" s="31">
        <v>1.1848164627363737E-2</v>
      </c>
      <c r="M125" s="31">
        <v>1.4800974770642203E-2</v>
      </c>
      <c r="N125" s="31">
        <v>1.0575835051546391E-2</v>
      </c>
      <c r="O125" s="31">
        <v>1.7414939957617143E-2</v>
      </c>
      <c r="P125" s="31">
        <v>5.0360501567398128E-4</v>
      </c>
      <c r="Q125" s="32">
        <v>14.13445519455828</v>
      </c>
      <c r="R125" s="32">
        <v>5.1342743550968724</v>
      </c>
      <c r="S125" s="32">
        <v>61.430664229830406</v>
      </c>
      <c r="T125" s="32">
        <v>1.6555918301494341</v>
      </c>
      <c r="U125" s="32">
        <v>3.7093959187528047</v>
      </c>
      <c r="V125" s="32">
        <v>4.5062075651016906</v>
      </c>
      <c r="W125" s="33">
        <v>1.0893333333333333</v>
      </c>
      <c r="X125" s="33">
        <v>-1.2787249000000003</v>
      </c>
    </row>
    <row r="126" spans="1:24" x14ac:dyDescent="0.15">
      <c r="A126" s="29" t="s">
        <v>87</v>
      </c>
      <c r="B126" s="30">
        <v>18.159071916871753</v>
      </c>
      <c r="C126" s="31">
        <v>4.9364489228631014E-2</v>
      </c>
      <c r="D126" s="31">
        <v>0.16635257410296411</v>
      </c>
      <c r="E126" s="31">
        <v>0.39517826825127339</v>
      </c>
      <c r="F126" s="31">
        <v>9.6811055276381924E-3</v>
      </c>
      <c r="G126" s="31">
        <v>9.5372528433945759E-3</v>
      </c>
      <c r="H126" s="31">
        <v>4.4242886597938146E-2</v>
      </c>
      <c r="I126" s="31">
        <v>1.3805620608899299E-3</v>
      </c>
      <c r="J126" s="31">
        <v>3.6632061068702288E-3</v>
      </c>
      <c r="K126" s="31">
        <v>7.4526315789473713E-3</v>
      </c>
      <c r="L126" s="31">
        <v>1.1924958286985539E-2</v>
      </c>
      <c r="M126" s="31">
        <v>1.3325315366972474E-2</v>
      </c>
      <c r="N126" s="31">
        <v>1.4136494845360821E-2</v>
      </c>
      <c r="O126" s="31">
        <v>1.6035731104308924E-2</v>
      </c>
      <c r="P126" s="31">
        <v>8.0576802507837015E-4</v>
      </c>
      <c r="Q126" s="32">
        <v>13.601050120162135</v>
      </c>
      <c r="R126" s="32">
        <v>5.1758937812386474</v>
      </c>
      <c r="S126" s="32">
        <v>57.948710348760841</v>
      </c>
      <c r="T126" s="32">
        <v>4.5061574754394291</v>
      </c>
      <c r="U126" s="32">
        <v>3.9100596526296751</v>
      </c>
      <c r="V126" s="32">
        <v>4.2800722296141407</v>
      </c>
      <c r="W126" s="33">
        <v>0.38500000000000001</v>
      </c>
      <c r="X126" s="33">
        <v>-1.3774513799999966</v>
      </c>
    </row>
    <row r="127" spans="1:24" x14ac:dyDescent="0.15">
      <c r="A127" s="29" t="s">
        <v>88</v>
      </c>
      <c r="B127" s="30">
        <v>18.277411539513263</v>
      </c>
      <c r="C127" s="31">
        <v>4.5048992355802668E-2</v>
      </c>
      <c r="D127" s="31">
        <v>0.15321060842433698</v>
      </c>
      <c r="E127" s="31">
        <v>0.4008125151588649</v>
      </c>
      <c r="F127" s="31">
        <v>9.2433165829145722E-3</v>
      </c>
      <c r="G127" s="31">
        <v>9.7193000874890648E-3</v>
      </c>
      <c r="H127" s="31">
        <v>3.8715306246209821E-2</v>
      </c>
      <c r="I127" s="31">
        <v>1.3805620608899299E-3</v>
      </c>
      <c r="J127" s="31">
        <v>3.45732824427481E-3</v>
      </c>
      <c r="K127" s="31">
        <v>7.366639676113361E-3</v>
      </c>
      <c r="L127" s="31">
        <v>1.0860817575083427E-2</v>
      </c>
      <c r="M127" s="31">
        <v>1.3558314220183486E-2</v>
      </c>
      <c r="N127" s="31">
        <v>1.0788123711340202E-2</v>
      </c>
      <c r="O127" s="31">
        <v>1.6171709441959028E-2</v>
      </c>
      <c r="P127" s="31">
        <v>8.4413793103448292E-4</v>
      </c>
      <c r="Q127" s="32">
        <v>13.756725674933458</v>
      </c>
      <c r="R127" s="32">
        <v>5.1275210630713817</v>
      </c>
      <c r="S127" s="32">
        <v>59.359540065413668</v>
      </c>
      <c r="T127" s="32">
        <v>3.5000985911193858</v>
      </c>
      <c r="U127" s="32">
        <v>3.895034744902377</v>
      </c>
      <c r="V127" s="32">
        <v>4.2885644364189321</v>
      </c>
      <c r="W127" s="33">
        <v>0.71988888888888902</v>
      </c>
      <c r="X127" s="33">
        <v>-1.125030620000004</v>
      </c>
    </row>
    <row r="128" spans="1:24" x14ac:dyDescent="0.15">
      <c r="A128" s="29" t="s">
        <v>89</v>
      </c>
      <c r="B128" s="30">
        <v>18.39575116215477</v>
      </c>
      <c r="C128" s="31">
        <v>4.5111195003088751E-2</v>
      </c>
      <c r="D128" s="31">
        <v>0.1392452830188679</v>
      </c>
      <c r="E128" s="31">
        <v>0.39911990055006219</v>
      </c>
      <c r="F128" s="31">
        <v>8.7394800483675903E-3</v>
      </c>
      <c r="G128" s="31">
        <v>9.9474285714285723E-3</v>
      </c>
      <c r="H128" s="31">
        <v>4.0745182440136835E-2</v>
      </c>
      <c r="I128" s="31">
        <v>1.3928571428571434E-3</v>
      </c>
      <c r="J128" s="31">
        <v>3.4177676537585416E-3</v>
      </c>
      <c r="K128" s="31">
        <v>6.41139646869984E-3</v>
      </c>
      <c r="L128" s="31">
        <v>1.097139886316373E-2</v>
      </c>
      <c r="M128" s="31">
        <v>1.3406102877070617E-2</v>
      </c>
      <c r="N128" s="31">
        <v>1.0963030053519965E-2</v>
      </c>
      <c r="O128" s="31">
        <v>1.7235129001433345E-2</v>
      </c>
      <c r="P128" s="31">
        <v>4.4416796267496115E-4</v>
      </c>
      <c r="Q128" s="32">
        <v>13.796078529124374</v>
      </c>
      <c r="R128" s="32">
        <v>5.0908352247047706</v>
      </c>
      <c r="S128" s="32">
        <v>60.698563041227544</v>
      </c>
      <c r="T128" s="32">
        <v>3.8716098751607513</v>
      </c>
      <c r="U128" s="32">
        <v>3.8252310766337576</v>
      </c>
      <c r="V128" s="32">
        <v>4.2453469834769759</v>
      </c>
      <c r="W128" s="33">
        <v>0.54911111111111111</v>
      </c>
      <c r="X128" s="33">
        <v>-1.2476842600000033</v>
      </c>
    </row>
    <row r="129" spans="1:25" x14ac:dyDescent="0.15">
      <c r="A129" s="29" t="s">
        <v>90</v>
      </c>
      <c r="B129" s="30">
        <v>18.514090784796281</v>
      </c>
      <c r="C129" s="31">
        <v>4.6307056077973779E-2</v>
      </c>
      <c r="D129" s="31">
        <v>0.15249056603773586</v>
      </c>
      <c r="E129" s="31">
        <v>0.41799052625592109</v>
      </c>
      <c r="F129" s="31">
        <v>9.7556000604594895E-3</v>
      </c>
      <c r="G129" s="31">
        <v>9.4617142857142851E-3</v>
      </c>
      <c r="H129" s="31">
        <v>4.3702765108323847E-2</v>
      </c>
      <c r="I129" s="31">
        <v>1.467857142857144E-3</v>
      </c>
      <c r="J129" s="31">
        <v>3.5589977220956718E-3</v>
      </c>
      <c r="K129" s="31">
        <v>7.2447833065810594E-3</v>
      </c>
      <c r="L129" s="31">
        <v>1.1594898100651597E-2</v>
      </c>
      <c r="M129" s="31">
        <v>1.3642284219703571E-2</v>
      </c>
      <c r="N129" s="31">
        <v>1.0982297241663233E-2</v>
      </c>
      <c r="O129" s="31">
        <v>1.6880375059722882E-2</v>
      </c>
      <c r="P129" s="31">
        <v>6.6625194401244176E-4</v>
      </c>
      <c r="Q129" s="32">
        <v>13.846551987157756</v>
      </c>
      <c r="R129" s="32">
        <v>5.2843212512498638</v>
      </c>
      <c r="S129" s="32">
        <v>60.853835270281913</v>
      </c>
      <c r="T129" s="32">
        <v>3.6609439054476112</v>
      </c>
      <c r="U129" s="32">
        <v>3.6346523272214393</v>
      </c>
      <c r="V129" s="32">
        <v>4.2996392552735569</v>
      </c>
      <c r="W129" s="33">
        <v>0.40166666666666667</v>
      </c>
      <c r="X129" s="33">
        <v>-1.811373660000001</v>
      </c>
    </row>
    <row r="130" spans="1:25" x14ac:dyDescent="0.15">
      <c r="A130" s="29" t="s">
        <v>91</v>
      </c>
      <c r="B130" s="30">
        <v>18.632430407437788</v>
      </c>
      <c r="C130" s="31">
        <v>4.8521175097810412E-2</v>
      </c>
      <c r="D130" s="31">
        <v>0.15792452830188677</v>
      </c>
      <c r="E130" s="31">
        <v>0.39507219057988091</v>
      </c>
      <c r="F130" s="31">
        <v>9.2030229746070114E-3</v>
      </c>
      <c r="G130" s="31">
        <v>8.101714285714285E-3</v>
      </c>
      <c r="H130" s="31">
        <v>3.8246921322691002E-2</v>
      </c>
      <c r="I130" s="31">
        <v>1.2107142857142868E-3</v>
      </c>
      <c r="J130" s="31">
        <v>3.3118451025056952E-3</v>
      </c>
      <c r="K130" s="31">
        <v>6.6765650080256814E-3</v>
      </c>
      <c r="L130" s="31">
        <v>1.0490101206155549E-2</v>
      </c>
      <c r="M130" s="31">
        <v>1.2461377506538793E-2</v>
      </c>
      <c r="N130" s="31">
        <v>1.2196130094689173E-2</v>
      </c>
      <c r="O130" s="31">
        <v>1.7570174390826566E-2</v>
      </c>
      <c r="P130" s="31">
        <v>3.9431237502777171E-4</v>
      </c>
      <c r="Q130" s="32">
        <v>13.735694757413203</v>
      </c>
      <c r="R130" s="32">
        <v>4.4192882810981233</v>
      </c>
      <c r="S130" s="32">
        <v>61.255270257811169</v>
      </c>
      <c r="T130" s="32">
        <v>4.6901142099783915</v>
      </c>
      <c r="U130" s="32">
        <v>3.3497849083215803</v>
      </c>
      <c r="V130" s="32">
        <v>4.0000486643493156</v>
      </c>
      <c r="W130" s="33">
        <v>-0.20899999999999999</v>
      </c>
      <c r="X130" s="33">
        <v>-2.3394956599999972</v>
      </c>
    </row>
    <row r="131" spans="1:25" x14ac:dyDescent="0.15">
      <c r="A131" s="29" t="s">
        <v>92</v>
      </c>
      <c r="B131" s="30">
        <v>18.750770030079298</v>
      </c>
      <c r="C131" s="31">
        <v>4.8651417393094934E-2</v>
      </c>
      <c r="D131" s="31">
        <v>0.15622641509433963</v>
      </c>
      <c r="E131" s="31">
        <v>0.37989047506845303</v>
      </c>
      <c r="F131" s="31">
        <v>8.2318440145102752E-3</v>
      </c>
      <c r="G131" s="31">
        <v>7.9333333333333322E-3</v>
      </c>
      <c r="H131" s="31">
        <v>3.9176767388825549E-2</v>
      </c>
      <c r="I131" s="31">
        <v>1.1785714285714294E-3</v>
      </c>
      <c r="J131" s="31">
        <v>3.2341685649202724E-3</v>
      </c>
      <c r="K131" s="31">
        <v>6.41139646869984E-3</v>
      </c>
      <c r="L131" s="31">
        <v>1.0894828781366975E-2</v>
      </c>
      <c r="M131" s="31">
        <v>1.2652571926765471E-2</v>
      </c>
      <c r="N131" s="31">
        <v>1.2022725401399753E-2</v>
      </c>
      <c r="O131" s="31">
        <v>1.6634018155757282E-2</v>
      </c>
      <c r="P131" s="31">
        <v>3.013996889580094E-4</v>
      </c>
      <c r="Q131" s="32">
        <v>13.597060591859934</v>
      </c>
      <c r="R131" s="32">
        <v>4.3582727479282397</v>
      </c>
      <c r="S131" s="32">
        <v>60.955926406780364</v>
      </c>
      <c r="T131" s="32">
        <v>5.0622479813134804</v>
      </c>
      <c r="U131" s="32">
        <v>3.3388377997179126</v>
      </c>
      <c r="V131" s="32">
        <v>3.9952811770868037</v>
      </c>
      <c r="W131" s="33">
        <v>-0.46633333333333332</v>
      </c>
      <c r="X131" s="33">
        <v>-2.3749552799999982</v>
      </c>
    </row>
    <row r="132" spans="1:25" x14ac:dyDescent="0.15">
      <c r="A132" s="29" t="s">
        <v>93</v>
      </c>
      <c r="B132" s="30">
        <v>18.869109652720805</v>
      </c>
      <c r="C132" s="31">
        <v>4.769236049145445E-2</v>
      </c>
      <c r="D132" s="31">
        <v>0.11920754716981133</v>
      </c>
      <c r="E132" s="31">
        <v>0.3787580132762417</v>
      </c>
      <c r="F132" s="31">
        <v>8.6377267230955228E-3</v>
      </c>
      <c r="G132" s="31">
        <v>8.1738775510204077E-3</v>
      </c>
      <c r="H132" s="31">
        <v>4.4912685290763983E-2</v>
      </c>
      <c r="I132" s="31">
        <v>1.382142857142858E-3</v>
      </c>
      <c r="J132" s="31">
        <v>3.8132118451025048E-3</v>
      </c>
      <c r="K132" s="31">
        <v>7.2353130016051363E-3</v>
      </c>
      <c r="L132" s="31">
        <v>1.140894218771662E-2</v>
      </c>
      <c r="M132" s="31">
        <v>1.3496076721883171E-2</v>
      </c>
      <c r="N132" s="31">
        <v>1.5009139563606423E-2</v>
      </c>
      <c r="O132" s="31">
        <v>1.5234710941232681E-2</v>
      </c>
      <c r="P132" s="31">
        <v>1.0588646967340592E-3</v>
      </c>
      <c r="Q132" s="32">
        <v>14.313238578578982</v>
      </c>
      <c r="R132" s="32">
        <v>5.1268480059189603</v>
      </c>
      <c r="S132" s="32">
        <v>56.98920090263347</v>
      </c>
      <c r="T132" s="32">
        <v>6.0626410456052566</v>
      </c>
      <c r="U132" s="32">
        <v>3.3592157968970389</v>
      </c>
      <c r="V132" s="32">
        <v>4.4578225798771483</v>
      </c>
      <c r="W132" s="33">
        <v>-3.6777777777777784E-2</v>
      </c>
      <c r="X132" s="33">
        <v>-2.9295372700000009</v>
      </c>
    </row>
    <row r="133" spans="1:25" x14ac:dyDescent="0.15">
      <c r="A133" s="29" t="s">
        <v>94</v>
      </c>
      <c r="B133" s="30">
        <v>18.987449275362316</v>
      </c>
      <c r="C133" s="31">
        <v>4.6662262337840613E-2</v>
      </c>
      <c r="D133" s="31">
        <v>0.13030188679245283</v>
      </c>
      <c r="E133" s="31">
        <v>0.39462369086019328</v>
      </c>
      <c r="F133" s="31">
        <v>9.2425937122128168E-3</v>
      </c>
      <c r="G133" s="31">
        <v>9.1411428571428546E-3</v>
      </c>
      <c r="H133" s="31">
        <v>3.9456841505131138E-2</v>
      </c>
      <c r="I133" s="31">
        <v>1.4892857142857156E-3</v>
      </c>
      <c r="J133" s="31">
        <v>3.7637813211845099E-3</v>
      </c>
      <c r="K133" s="31">
        <v>6.7712680577849118E-3</v>
      </c>
      <c r="L133" s="31">
        <v>1.1890239844724803E-2</v>
      </c>
      <c r="M133" s="31">
        <v>1.4429555361813427E-2</v>
      </c>
      <c r="N133" s="31">
        <v>1.2909016055990116E-2</v>
      </c>
      <c r="O133" s="31">
        <v>1.42985547061634E-2</v>
      </c>
      <c r="P133" s="31">
        <v>3.2360808709175749E-4</v>
      </c>
      <c r="Q133" s="32">
        <v>14.782440325443199</v>
      </c>
      <c r="R133" s="32">
        <v>5.5075693710202245</v>
      </c>
      <c r="S133" s="32">
        <v>57.879649165330683</v>
      </c>
      <c r="T133" s="32">
        <v>4.8858863411689573</v>
      </c>
      <c r="U133" s="32">
        <v>3.4782491772449471</v>
      </c>
      <c r="V133" s="32">
        <v>4.6683636969668099</v>
      </c>
      <c r="W133" s="33">
        <v>-0.27155555555555555</v>
      </c>
      <c r="X133" s="33">
        <v>-2.6315794600000011</v>
      </c>
    </row>
    <row r="134" spans="1:25" x14ac:dyDescent="0.15">
      <c r="A134" s="29" t="s">
        <v>95</v>
      </c>
      <c r="B134" s="30">
        <v>19.043899999999997</v>
      </c>
      <c r="C134" s="31">
        <v>5.6738279909396672E-2</v>
      </c>
      <c r="D134" s="31">
        <v>0.13098113207547168</v>
      </c>
      <c r="E134" s="31">
        <v>0.34620814611990869</v>
      </c>
      <c r="F134" s="31">
        <v>7.9876360338573121E-3</v>
      </c>
      <c r="G134" s="31">
        <v>7.0914285714285706E-3</v>
      </c>
      <c r="H134" s="31">
        <v>4.8643272519954407E-2</v>
      </c>
      <c r="I134" s="31">
        <v>1.1785714285714294E-3</v>
      </c>
      <c r="J134" s="31">
        <v>3.3683371298405453E-3</v>
      </c>
      <c r="K134" s="31">
        <v>6.7996789727126821E-3</v>
      </c>
      <c r="L134" s="31">
        <v>9.9322334673506169E-3</v>
      </c>
      <c r="M134" s="31">
        <v>1.1741586748038357E-2</v>
      </c>
      <c r="N134" s="31">
        <v>1.5124742692466034E-2</v>
      </c>
      <c r="O134" s="31">
        <v>1.3066770186335402E-2</v>
      </c>
      <c r="P134" s="31">
        <v>0</v>
      </c>
      <c r="Q134" s="32">
        <v>13.575386164675852</v>
      </c>
      <c r="R134" s="32">
        <v>4.5791606494123274</v>
      </c>
      <c r="S134" s="32">
        <v>57.13734745364409</v>
      </c>
      <c r="T134" s="32">
        <v>10.191669801499472</v>
      </c>
      <c r="U134" s="32">
        <v>3.1827480018805838</v>
      </c>
      <c r="V134" s="32">
        <v>4.0113278415313536</v>
      </c>
      <c r="W134" s="33">
        <v>-1.6128888888888888</v>
      </c>
      <c r="X134" s="33">
        <v>-2.7673822600000015</v>
      </c>
    </row>
    <row r="135" spans="1:25" x14ac:dyDescent="0.15">
      <c r="A135" s="29" t="s">
        <v>96</v>
      </c>
      <c r="B135" s="30">
        <v>19.185742105263156</v>
      </c>
      <c r="C135" s="31">
        <v>5.3334270255076942E-2</v>
      </c>
      <c r="D135" s="31">
        <v>0.16518788647534488</v>
      </c>
      <c r="E135" s="31">
        <v>0.34232200891075404</v>
      </c>
      <c r="F135" s="31">
        <v>7.666738931994526E-3</v>
      </c>
      <c r="G135" s="31">
        <v>7.168789553793159E-3</v>
      </c>
      <c r="H135" s="31">
        <v>4.7058621523579189E-2</v>
      </c>
      <c r="I135" s="31">
        <v>1.153846153846154E-3</v>
      </c>
      <c r="J135" s="31">
        <v>3.2811077389984828E-3</v>
      </c>
      <c r="K135" s="31">
        <v>6.5767366720516952E-3</v>
      </c>
      <c r="L135" s="31">
        <v>1.060064111498258E-2</v>
      </c>
      <c r="M135" s="31">
        <v>1.1649090909090909E-2</v>
      </c>
      <c r="N135" s="31">
        <v>1.5082784184514001E-2</v>
      </c>
      <c r="O135" s="31">
        <v>1.4094576038448339E-2</v>
      </c>
      <c r="P135" s="31">
        <v>0</v>
      </c>
      <c r="Q135" s="32">
        <v>13.549084694885913</v>
      </c>
      <c r="R135" s="32">
        <v>4.5093574172770081</v>
      </c>
      <c r="S135" s="32">
        <v>57.45252739080572</v>
      </c>
      <c r="T135" s="32">
        <v>10.16457942134508</v>
      </c>
      <c r="U135" s="32">
        <v>3.2527746313990997</v>
      </c>
      <c r="V135" s="32">
        <v>3.9359542742460398</v>
      </c>
      <c r="W135" s="33">
        <v>-1.4039999999999999</v>
      </c>
      <c r="X135" s="33">
        <v>-2.9182607875000031</v>
      </c>
    </row>
    <row r="136" spans="1:25" x14ac:dyDescent="0.15">
      <c r="A136" s="29" t="s">
        <v>97</v>
      </c>
      <c r="B136" s="30">
        <v>19.327584210526314</v>
      </c>
      <c r="C136" s="31">
        <v>5.3588820181294364E-2</v>
      </c>
      <c r="D136" s="31">
        <v>0.15400031710797524</v>
      </c>
      <c r="E136" s="31">
        <v>0.35659713454912734</v>
      </c>
      <c r="F136" s="31">
        <v>8.4197444089456897E-3</v>
      </c>
      <c r="G136" s="31">
        <v>7.0966113914924297E-3</v>
      </c>
      <c r="H136" s="31">
        <v>4.9997013301088258E-2</v>
      </c>
      <c r="I136" s="31">
        <v>1.216783216783217E-3</v>
      </c>
      <c r="J136" s="31">
        <v>3.3305007587253422E-3</v>
      </c>
      <c r="K136" s="31">
        <v>6.9961227786752827E-3</v>
      </c>
      <c r="L136" s="31">
        <v>1.0567651567944251E-2</v>
      </c>
      <c r="M136" s="31">
        <v>1.1995324675324676E-2</v>
      </c>
      <c r="N136" s="31">
        <v>1.5555024711696869E-2</v>
      </c>
      <c r="O136" s="31">
        <v>1.5378475798146243E-2</v>
      </c>
      <c r="P136" s="31">
        <v>9.562500000000002E-5</v>
      </c>
      <c r="Q136" s="32">
        <v>13.564935024407644</v>
      </c>
      <c r="R136" s="32">
        <v>4.5954144977766145</v>
      </c>
      <c r="S136" s="32">
        <v>58.666685610180259</v>
      </c>
      <c r="T136" s="32">
        <v>7.9554248898256343</v>
      </c>
      <c r="U136" s="32">
        <v>3.3605569353920139</v>
      </c>
      <c r="V136" s="32">
        <v>4.0350917362768497</v>
      </c>
      <c r="W136" s="33">
        <v>-1.4854444444444443</v>
      </c>
      <c r="X136" s="33">
        <v>-3.1455052942857229</v>
      </c>
    </row>
    <row r="137" spans="1:25" x14ac:dyDescent="0.15">
      <c r="A137" s="29" t="s">
        <v>98</v>
      </c>
      <c r="B137" s="30">
        <v>19.46942631578947</v>
      </c>
      <c r="C137" s="31">
        <v>5.3394877380366801E-2</v>
      </c>
      <c r="D137" s="31">
        <v>0.14349770096717934</v>
      </c>
      <c r="E137" s="31">
        <v>0.34308634634650953</v>
      </c>
      <c r="F137" s="31">
        <v>5.5071291647649494E-3</v>
      </c>
      <c r="G137" s="31">
        <v>5.5694304253785147E-3</v>
      </c>
      <c r="H137" s="31">
        <v>3.640279322853688E-2</v>
      </c>
      <c r="I137" s="31">
        <v>9.4405594405594416E-4</v>
      </c>
      <c r="J137" s="31">
        <v>2.8224582701062212E-3</v>
      </c>
      <c r="K137" s="31">
        <v>6.5957996768982218E-3</v>
      </c>
      <c r="L137" s="31">
        <v>9.1820905923344961E-3</v>
      </c>
      <c r="M137" s="31">
        <v>1.0174805194805197E-2</v>
      </c>
      <c r="N137" s="31">
        <v>1.6798270181219106E-2</v>
      </c>
      <c r="O137" s="31">
        <v>1.7058874013044973E-2</v>
      </c>
      <c r="P137" s="31">
        <v>0</v>
      </c>
      <c r="Q137" s="32">
        <v>12.396102653262902</v>
      </c>
      <c r="R137" s="32">
        <v>3.4784429603714364</v>
      </c>
      <c r="S137" s="32">
        <v>60.959756109189051</v>
      </c>
      <c r="T137" s="32">
        <v>9.8354660854569804</v>
      </c>
      <c r="U137" s="32">
        <v>2.9885482977915578</v>
      </c>
      <c r="V137" s="32">
        <v>3.6010848068995447</v>
      </c>
      <c r="W137" s="33">
        <v>-0.66022222222222215</v>
      </c>
      <c r="X137" s="33">
        <v>-3.5838157599999967</v>
      </c>
    </row>
    <row r="138" spans="1:25" x14ac:dyDescent="0.15">
      <c r="A138" s="29" t="s">
        <v>99</v>
      </c>
      <c r="B138" s="30">
        <v>19.611268421052628</v>
      </c>
      <c r="C138" s="31">
        <v>5.8922247206802052E-2</v>
      </c>
      <c r="D138" s="31">
        <v>0.10959251625178375</v>
      </c>
      <c r="E138" s="31">
        <v>0.27789285917913553</v>
      </c>
      <c r="F138" s="31">
        <v>4.3738931994523065E-3</v>
      </c>
      <c r="G138" s="31">
        <v>4.0397981254506133E-3</v>
      </c>
      <c r="H138" s="31">
        <v>3.9673833131801693E-2</v>
      </c>
      <c r="I138" s="31">
        <v>7.1328671328671348E-4</v>
      </c>
      <c r="J138" s="31">
        <v>2.6319423368740521E-3</v>
      </c>
      <c r="K138" s="31">
        <v>7.386914378029079E-3</v>
      </c>
      <c r="L138" s="31">
        <v>8.4343275261324069E-3</v>
      </c>
      <c r="M138" s="31">
        <v>7.7735064935064947E-3</v>
      </c>
      <c r="N138" s="31">
        <v>1.6277841845140029E-2</v>
      </c>
      <c r="O138" s="31">
        <v>1.5944902162718853E-2</v>
      </c>
      <c r="P138" s="31">
        <v>0</v>
      </c>
      <c r="Q138" s="32">
        <v>10.969652646204375</v>
      </c>
      <c r="R138" s="32">
        <v>2.6855262800810875</v>
      </c>
      <c r="S138" s="32">
        <v>57.537367335157633</v>
      </c>
      <c r="T138" s="32">
        <v>18.639471642077012</v>
      </c>
      <c r="U138" s="32">
        <v>2.4876049642472942</v>
      </c>
      <c r="V138" s="32">
        <v>2.8876933581037108</v>
      </c>
      <c r="W138" s="33">
        <v>-1.54</v>
      </c>
      <c r="X138" s="33">
        <v>-4.9404580171428556</v>
      </c>
    </row>
    <row r="139" spans="1:25" x14ac:dyDescent="0.15">
      <c r="A139" s="29" t="s">
        <v>100</v>
      </c>
      <c r="B139" s="30">
        <v>19.753110526315787</v>
      </c>
      <c r="C139" s="31">
        <v>4.7612957627714142E-2</v>
      </c>
      <c r="D139" s="31">
        <v>0.15240209291263679</v>
      </c>
      <c r="E139" s="31">
        <v>0.37608773916089044</v>
      </c>
      <c r="F139" s="31">
        <v>8.7477863989046112E-3</v>
      </c>
      <c r="G139" s="31">
        <v>7.9790915645277585E-3</v>
      </c>
      <c r="H139" s="31">
        <v>3.9784715840386946E-2</v>
      </c>
      <c r="I139" s="31">
        <v>1.153846153846154E-3</v>
      </c>
      <c r="J139" s="31">
        <v>3.30227617602428E-3</v>
      </c>
      <c r="K139" s="31">
        <v>6.8436187399030703E-3</v>
      </c>
      <c r="L139" s="31">
        <v>1.0611637630662021E-2</v>
      </c>
      <c r="M139" s="31">
        <v>1.2263376623376624E-2</v>
      </c>
      <c r="N139" s="31">
        <v>1.3454036243822073E-2</v>
      </c>
      <c r="O139" s="31">
        <v>1.7795228286989363E-2</v>
      </c>
      <c r="P139" s="31">
        <v>6.0562500000000004E-4</v>
      </c>
      <c r="Q139" s="32">
        <v>13.588849906010154</v>
      </c>
      <c r="R139" s="32">
        <v>4.2380301301334038</v>
      </c>
      <c r="S139" s="32">
        <v>61.046509654746387</v>
      </c>
      <c r="T139" s="32">
        <v>5.1643542824295823</v>
      </c>
      <c r="U139" s="32">
        <v>3.1562980921344046</v>
      </c>
      <c r="V139" s="32">
        <v>4.1985963739422862</v>
      </c>
      <c r="W139" s="33">
        <v>-0.61842857142857144</v>
      </c>
      <c r="X139" s="33">
        <v>-6.0412644280000016</v>
      </c>
    </row>
    <row r="140" spans="1:25" x14ac:dyDescent="0.15">
      <c r="A140" s="43" t="s">
        <v>101</v>
      </c>
      <c r="B140" s="44">
        <v>19.894952631578946</v>
      </c>
      <c r="C140" s="45">
        <v>4.8776614433279457E-2</v>
      </c>
      <c r="D140" s="45">
        <v>0.16564452195972731</v>
      </c>
      <c r="E140" s="45">
        <v>0.37461526557142055</v>
      </c>
      <c r="F140" s="45">
        <v>7.6432679141944333E-3</v>
      </c>
      <c r="G140" s="45">
        <v>7.1480894015861574E-3</v>
      </c>
      <c r="H140" s="45">
        <v>3.7478355501813776E-2</v>
      </c>
      <c r="I140" s="45">
        <v>1.2377622377622377E-3</v>
      </c>
      <c r="J140" s="45">
        <v>3.2811077389984828E-3</v>
      </c>
      <c r="K140" s="45">
        <v>6.9484652665589659E-3</v>
      </c>
      <c r="L140" s="45">
        <v>1.0710606271777005E-2</v>
      </c>
      <c r="M140" s="45">
        <v>1.2185194805194805E-2</v>
      </c>
      <c r="N140" s="45">
        <v>1.4668369028006591E-2</v>
      </c>
      <c r="O140" s="45">
        <v>1.6766220391349132E-2</v>
      </c>
      <c r="P140" s="45">
        <v>3.1078125000000002E-4</v>
      </c>
      <c r="Q140" s="46">
        <v>13.681462823856336</v>
      </c>
      <c r="R140" s="46">
        <v>4.4767645419173432</v>
      </c>
      <c r="S140" s="46">
        <v>59.626932869609831</v>
      </c>
      <c r="T140" s="46">
        <v>6.5963196972600091</v>
      </c>
      <c r="U140" s="46">
        <v>3.221030737834587</v>
      </c>
      <c r="V140" s="46">
        <v>4.2153177207637231</v>
      </c>
      <c r="W140" s="47">
        <v>-0.55455555555555547</v>
      </c>
      <c r="X140" s="47">
        <v>-3.6118077657142855</v>
      </c>
      <c r="Y140" s="48" t="s">
        <v>487</v>
      </c>
    </row>
    <row r="141" spans="1:25" x14ac:dyDescent="0.15">
      <c r="A141" s="43" t="s">
        <v>102</v>
      </c>
      <c r="B141" s="44">
        <v>20.036794736842101</v>
      </c>
      <c r="C141" s="45">
        <v>4.9612992762279533E-2</v>
      </c>
      <c r="D141" s="45">
        <v>0.12511812272078646</v>
      </c>
      <c r="E141" s="45">
        <v>0.35385451198553441</v>
      </c>
      <c r="F141" s="45">
        <v>6.7596531264262922E-3</v>
      </c>
      <c r="G141" s="45">
        <v>6.7936965701926059E-3</v>
      </c>
      <c r="H141" s="45">
        <v>3.5903821039903264E-2</v>
      </c>
      <c r="I141" s="45">
        <v>1.0279720279720284E-3</v>
      </c>
      <c r="J141" s="45">
        <v>3.0270864946889235E-3</v>
      </c>
      <c r="K141" s="45">
        <v>6.4432956381260086E-3</v>
      </c>
      <c r="L141" s="45">
        <v>9.1820905923344978E-3</v>
      </c>
      <c r="M141" s="45">
        <v>1.115766233766234E-2</v>
      </c>
      <c r="N141" s="45">
        <v>1.449489291598023E-2</v>
      </c>
      <c r="O141" s="45">
        <v>1.7578098180569861E-2</v>
      </c>
      <c r="P141" s="45">
        <v>0</v>
      </c>
      <c r="Q141" s="46">
        <v>13.425487967070122</v>
      </c>
      <c r="R141" s="46">
        <v>3.7300620258958936</v>
      </c>
      <c r="S141" s="46">
        <v>59.194350269842353</v>
      </c>
      <c r="T141" s="46">
        <v>9.7249334163632835</v>
      </c>
      <c r="U141" s="46">
        <v>2.8949900335379355</v>
      </c>
      <c r="V141" s="46">
        <v>3.9397052505966585</v>
      </c>
      <c r="W141" s="47">
        <v>-1.521625</v>
      </c>
      <c r="X141" s="47">
        <v>-5.2341431200000024</v>
      </c>
      <c r="Y141" s="48" t="s">
        <v>487</v>
      </c>
    </row>
    <row r="142" spans="1:25" x14ac:dyDescent="0.15">
      <c r="A142" s="43" t="s">
        <v>103</v>
      </c>
      <c r="B142" s="44">
        <v>20.178636842105259</v>
      </c>
      <c r="C142" s="45">
        <v>4.8828141118217448E-2</v>
      </c>
      <c r="D142" s="45">
        <v>0.47714607102683593</v>
      </c>
      <c r="E142" s="45">
        <v>0.44493764341210112</v>
      </c>
      <c r="F142" s="45">
        <v>9.2040588533739229E-3</v>
      </c>
      <c r="G142" s="45">
        <v>1.0550590163934424E-2</v>
      </c>
      <c r="H142" s="45">
        <v>3.5258157227387996E-2</v>
      </c>
      <c r="I142" s="45">
        <v>1.7307692307692317E-3</v>
      </c>
      <c r="J142" s="45">
        <v>4.238871951219512E-3</v>
      </c>
      <c r="K142" s="45">
        <v>8.1308775731310928E-3</v>
      </c>
      <c r="L142" s="45">
        <v>1.4522078464106842E-2</v>
      </c>
      <c r="M142" s="45">
        <v>1.6150043140638483E-2</v>
      </c>
      <c r="N142" s="45">
        <v>1.1222545454545452E-2</v>
      </c>
      <c r="O142" s="45">
        <v>1.3987953851374283E-2</v>
      </c>
      <c r="P142" s="45">
        <v>2.6329583460018243E-3</v>
      </c>
      <c r="Q142" s="46">
        <v>14.906492159570281</v>
      </c>
      <c r="R142" s="46">
        <v>6.1998596670896715</v>
      </c>
      <c r="S142" s="46">
        <v>56.725606506331843</v>
      </c>
      <c r="T142" s="46">
        <v>0.93560977839299009</v>
      </c>
      <c r="U142" s="46">
        <v>3.5199569494893144</v>
      </c>
      <c r="V142" s="46">
        <v>5.415568200412344</v>
      </c>
      <c r="W142" s="47">
        <v>0.34122222222222226</v>
      </c>
      <c r="X142" s="47">
        <v>-6.1483546360000041</v>
      </c>
      <c r="Y142" s="48" t="s">
        <v>487</v>
      </c>
    </row>
    <row r="143" spans="1:25" x14ac:dyDescent="0.15">
      <c r="A143" s="43" t="s">
        <v>104</v>
      </c>
      <c r="B143" s="44">
        <v>20.320478947368418</v>
      </c>
      <c r="C143" s="45">
        <v>5.1378687848153505E-2</v>
      </c>
      <c r="D143" s="45">
        <v>0.3084557287481921</v>
      </c>
      <c r="E143" s="45">
        <v>0.44187110019725456</v>
      </c>
      <c r="F143" s="45">
        <v>9.7437899543378996E-3</v>
      </c>
      <c r="G143" s="45">
        <v>9.1162112932604705E-3</v>
      </c>
      <c r="H143" s="45">
        <v>3.3763229078613684E-2</v>
      </c>
      <c r="I143" s="45">
        <v>1.7199519230769245E-3</v>
      </c>
      <c r="J143" s="45">
        <v>4.3735518292682919E-3</v>
      </c>
      <c r="K143" s="45">
        <v>8.7349404117009737E-3</v>
      </c>
      <c r="L143" s="45">
        <v>3.9867111853088479E-2</v>
      </c>
      <c r="M143" s="45">
        <v>1.6929163071613459E-2</v>
      </c>
      <c r="N143" s="45">
        <v>1.0797090909090905E-2</v>
      </c>
      <c r="O143" s="45">
        <v>1.4071937563624027E-2</v>
      </c>
      <c r="P143" s="45">
        <v>3.4837336576467011E-3</v>
      </c>
      <c r="Q143" s="46">
        <v>15.258851382541431</v>
      </c>
      <c r="R143" s="46">
        <v>6.0614523083316652</v>
      </c>
      <c r="S143" s="46">
        <v>57.279231596084692</v>
      </c>
      <c r="T143" s="46">
        <v>0.49889065907517921</v>
      </c>
      <c r="U143" s="46">
        <v>3.3994681919046279</v>
      </c>
      <c r="V143" s="46">
        <v>5.5706041578034489</v>
      </c>
      <c r="W143" s="47"/>
      <c r="X143" s="47"/>
      <c r="Y143" s="48" t="s">
        <v>487</v>
      </c>
    </row>
    <row r="144" spans="1:25" x14ac:dyDescent="0.15">
      <c r="A144" s="43" t="s">
        <v>105</v>
      </c>
      <c r="B144" s="44">
        <v>20.462321052631577</v>
      </c>
      <c r="C144" s="45">
        <v>4.8662059005570454E-2</v>
      </c>
      <c r="D144" s="45">
        <v>0.20212759119395787</v>
      </c>
      <c r="E144" s="45">
        <v>0.45353729721025732</v>
      </c>
      <c r="F144" s="45">
        <v>1.4200547945205482E-2</v>
      </c>
      <c r="G144" s="45">
        <v>9.1686295081967201E-3</v>
      </c>
      <c r="H144" s="45">
        <v>2.7473457311918848E-2</v>
      </c>
      <c r="I144" s="45">
        <v>1.4062500000000004E-3</v>
      </c>
      <c r="J144" s="45">
        <v>3.856097560975609E-3</v>
      </c>
      <c r="K144" s="45">
        <v>1.0096478873239438E-2</v>
      </c>
      <c r="L144" s="45">
        <v>2.9219782971619365E-2</v>
      </c>
      <c r="M144" s="45">
        <v>1.7608110440034512E-2</v>
      </c>
      <c r="N144" s="45">
        <v>1.5259636363636361E-2</v>
      </c>
      <c r="O144" s="45">
        <v>1.5023752969121144E-2</v>
      </c>
      <c r="P144" s="45">
        <v>4.298327759197325E-3</v>
      </c>
      <c r="Q144" s="46">
        <v>15.992760716519557</v>
      </c>
      <c r="R144" s="46">
        <v>4.8478164911577677</v>
      </c>
      <c r="S144" s="46">
        <v>58.915989257402096</v>
      </c>
      <c r="T144" s="46">
        <v>0.39778523577575514</v>
      </c>
      <c r="U144" s="46">
        <v>3.0206349885137809</v>
      </c>
      <c r="V144" s="46">
        <v>5.9227804185620325</v>
      </c>
      <c r="W144" s="47"/>
      <c r="X144" s="47"/>
      <c r="Y144" s="48" t="s">
        <v>487</v>
      </c>
    </row>
    <row r="145" spans="1:25" x14ac:dyDescent="0.15">
      <c r="A145" s="43" t="s">
        <v>106</v>
      </c>
      <c r="B145" s="44">
        <v>20.604163157894735</v>
      </c>
      <c r="C145" s="45">
        <v>5.5696822776975463E-2</v>
      </c>
      <c r="D145" s="45">
        <v>0.22179656114414265</v>
      </c>
      <c r="E145" s="45">
        <v>0.41916090334527595</v>
      </c>
      <c r="F145" s="45">
        <v>1.3169863013698629E-2</v>
      </c>
      <c r="G145" s="45">
        <v>9.3634885245901644E-3</v>
      </c>
      <c r="H145" s="45">
        <v>3.062941673710905E-2</v>
      </c>
      <c r="I145" s="45">
        <v>1.5685096153846161E-3</v>
      </c>
      <c r="J145" s="45">
        <v>4.7563262195121948E-3</v>
      </c>
      <c r="K145" s="45">
        <v>1.1314192849404117E-2</v>
      </c>
      <c r="L145" s="45">
        <v>5.0887646076794642E-2</v>
      </c>
      <c r="M145" s="45">
        <v>1.6984814495254533E-2</v>
      </c>
      <c r="N145" s="45">
        <v>9.596363636363632E-3</v>
      </c>
      <c r="O145" s="45">
        <v>1.2933491686460808E-2</v>
      </c>
      <c r="P145" s="45">
        <v>8.7176041349954388E-3</v>
      </c>
      <c r="Q145" s="46">
        <v>15.251541108551033</v>
      </c>
      <c r="R145" s="46">
        <v>5.6135871100523698</v>
      </c>
      <c r="S145" s="46">
        <v>56.699787248983739</v>
      </c>
      <c r="T145" s="46">
        <v>0.44781004740326724</v>
      </c>
      <c r="U145" s="46">
        <v>3.1651004033866759</v>
      </c>
      <c r="V145" s="46">
        <v>5.8596556844585539</v>
      </c>
      <c r="W145" s="47"/>
      <c r="X145" s="47"/>
      <c r="Y145" s="48" t="s">
        <v>487</v>
      </c>
    </row>
    <row r="146" spans="1:25" x14ac:dyDescent="0.15">
      <c r="A146" s="49" t="s">
        <v>107</v>
      </c>
      <c r="B146" s="50">
        <v>20.74600526315789</v>
      </c>
      <c r="C146" s="51">
        <v>5.4474932948215385E-2</v>
      </c>
      <c r="D146" s="51">
        <v>0.24701912260967368</v>
      </c>
      <c r="E146" s="51">
        <v>0.43841568374864143</v>
      </c>
      <c r="F146" s="51">
        <v>1.1976940639269407E-2</v>
      </c>
      <c r="G146" s="51">
        <v>9.5480918032786882E-3</v>
      </c>
      <c r="H146" s="51">
        <v>3.0994843617920535E-2</v>
      </c>
      <c r="I146" s="51">
        <v>1.5901442307692316E-3</v>
      </c>
      <c r="J146" s="51">
        <v>4.5011432926829256E-3</v>
      </c>
      <c r="K146" s="51">
        <v>1.0767659804983749E-2</v>
      </c>
      <c r="L146" s="51">
        <v>3.9713439065108505E-2</v>
      </c>
      <c r="M146" s="51">
        <v>1.6984814495254533E-2</v>
      </c>
      <c r="N146" s="51">
        <v>1.0191999999999998E-2</v>
      </c>
      <c r="O146" s="51">
        <v>1.32880895826264E-2</v>
      </c>
      <c r="P146" s="51">
        <v>4.782122225600486E-3</v>
      </c>
      <c r="Q146" s="52">
        <v>15.548370365633602</v>
      </c>
      <c r="R146" s="52">
        <v>5.7242921388338504</v>
      </c>
      <c r="S146" s="52">
        <v>57.488414485043016</v>
      </c>
      <c r="T146" s="52">
        <v>0.45502970865925801</v>
      </c>
      <c r="U146" s="52">
        <v>3.2193304354855119</v>
      </c>
      <c r="V146" s="52">
        <v>5.9541308865399101</v>
      </c>
      <c r="W146" s="53"/>
      <c r="X146" s="53"/>
      <c r="Y146" s="53" t="s">
        <v>488</v>
      </c>
    </row>
    <row r="147" spans="1:25" x14ac:dyDescent="0.15">
      <c r="A147" s="49" t="s">
        <v>108</v>
      </c>
      <c r="B147" s="50">
        <v>20.887847368421049</v>
      </c>
      <c r="C147" s="51">
        <v>5.0311017123994217E-2</v>
      </c>
      <c r="D147" s="51">
        <v>0.22977984894745296</v>
      </c>
      <c r="E147" s="51">
        <v>0.44010450464957135</v>
      </c>
      <c r="F147" s="51">
        <v>9.6268835616438349E-3</v>
      </c>
      <c r="G147" s="51">
        <v>8.1789508196721313E-3</v>
      </c>
      <c r="H147" s="51">
        <v>3.1847506339814036E-2</v>
      </c>
      <c r="I147" s="51">
        <v>1.5144230769230777E-3</v>
      </c>
      <c r="J147" s="51">
        <v>4.4019054878048774E-3</v>
      </c>
      <c r="K147" s="51">
        <v>9.712946912242686E-3</v>
      </c>
      <c r="L147" s="51">
        <v>3.7847412353923193E-2</v>
      </c>
      <c r="M147" s="51">
        <v>1.7051596203623814E-2</v>
      </c>
      <c r="N147" s="51">
        <v>9.2181818181818129E-3</v>
      </c>
      <c r="O147" s="51">
        <v>1.3278758059043098E-2</v>
      </c>
      <c r="P147" s="51">
        <v>3.4656430525995749E-3</v>
      </c>
      <c r="Q147" s="52">
        <v>15.258991964733555</v>
      </c>
      <c r="R147" s="52">
        <v>5.5625887501144113</v>
      </c>
      <c r="S147" s="52">
        <v>57.16275587577929</v>
      </c>
      <c r="T147" s="52">
        <v>0.59701973177324796</v>
      </c>
      <c r="U147" s="52">
        <v>3.4699551242102418</v>
      </c>
      <c r="V147" s="52">
        <v>5.4748787511863082</v>
      </c>
      <c r="W147" s="53"/>
      <c r="X147" s="53"/>
      <c r="Y147" s="53" t="s">
        <v>488</v>
      </c>
    </row>
    <row r="148" spans="1:25" x14ac:dyDescent="0.15">
      <c r="A148" s="49" t="s">
        <v>109</v>
      </c>
      <c r="B148" s="50">
        <v>21.029689473684208</v>
      </c>
      <c r="C148" s="51">
        <v>5.1853208170002059E-2</v>
      </c>
      <c r="D148" s="51">
        <v>0.27397718142375055</v>
      </c>
      <c r="E148" s="51">
        <v>0.43870456100801103</v>
      </c>
      <c r="F148" s="51">
        <v>8.9230593607305952E-3</v>
      </c>
      <c r="G148" s="51">
        <v>8.5122622950819654E-3</v>
      </c>
      <c r="H148" s="51">
        <v>3.2390109890109896E-2</v>
      </c>
      <c r="I148" s="51">
        <v>1.4603365384615388E-3</v>
      </c>
      <c r="J148" s="51">
        <v>4.331021341463414E-3</v>
      </c>
      <c r="K148" s="51">
        <v>8.9075297941495109E-3</v>
      </c>
      <c r="L148" s="51">
        <v>1.8550500834724537E-2</v>
      </c>
      <c r="M148" s="51">
        <v>1.6762208800690251E-2</v>
      </c>
      <c r="N148" s="51">
        <v>9.7287272727272708E-3</v>
      </c>
      <c r="O148" s="51">
        <v>1.2980149304377337E-2</v>
      </c>
      <c r="P148" s="51">
        <v>2.9585892368501061E-3</v>
      </c>
      <c r="Q148" s="52">
        <v>15.082621563130099</v>
      </c>
      <c r="R148" s="52">
        <v>5.3581129639112159</v>
      </c>
      <c r="S148" s="52">
        <v>56.479881787159705</v>
      </c>
      <c r="T148" s="52">
        <v>0.78705368452668545</v>
      </c>
      <c r="U148" s="52">
        <v>3.4283996213849712</v>
      </c>
      <c r="V148" s="52">
        <v>5.3698933550413983</v>
      </c>
      <c r="W148" s="53"/>
      <c r="X148" s="53"/>
      <c r="Y148" s="53" t="s">
        <v>488</v>
      </c>
    </row>
    <row r="149" spans="1:25" x14ac:dyDescent="0.15">
      <c r="A149" s="49" t="s">
        <v>110</v>
      </c>
      <c r="B149" s="50">
        <v>21.171531578947366</v>
      </c>
      <c r="C149" s="51">
        <v>5.4177135678391948E-2</v>
      </c>
      <c r="D149" s="51">
        <v>0.34673472643164771</v>
      </c>
      <c r="E149" s="51">
        <v>0.36208729647905791</v>
      </c>
      <c r="F149" s="51">
        <v>8.4974959091585287E-3</v>
      </c>
      <c r="G149" s="51">
        <v>7.888544272136068E-3</v>
      </c>
      <c r="H149" s="51">
        <v>3.625426592124454E-2</v>
      </c>
      <c r="I149" s="51">
        <v>1.3976470588235297E-3</v>
      </c>
      <c r="J149" s="51">
        <v>3.9194864048338355E-3</v>
      </c>
      <c r="K149" s="51">
        <v>8.0492745977314706E-3</v>
      </c>
      <c r="L149" s="51">
        <v>1.2040570719602978E-2</v>
      </c>
      <c r="M149" s="51">
        <v>1.4357167431192665E-2</v>
      </c>
      <c r="N149" s="51">
        <v>1.288861689106487E-2</v>
      </c>
      <c r="O149" s="51">
        <v>1.1269686138724453E-2</v>
      </c>
      <c r="P149" s="51">
        <v>2.1957251908396951E-3</v>
      </c>
      <c r="Q149" s="52">
        <v>14.413592724063143</v>
      </c>
      <c r="R149" s="52">
        <v>5.3318437405825145</v>
      </c>
      <c r="S149" s="52">
        <v>54.854336173319091</v>
      </c>
      <c r="T149" s="52">
        <v>5.6585552844540157</v>
      </c>
      <c r="U149" s="52">
        <v>3.2765605067013044</v>
      </c>
      <c r="V149" s="52">
        <v>4.916236866116507</v>
      </c>
      <c r="W149" s="53">
        <v>-3.0904444444444445</v>
      </c>
      <c r="X149" s="53">
        <v>-5.9848308199999991</v>
      </c>
      <c r="Y149" s="53" t="s">
        <v>488</v>
      </c>
    </row>
    <row r="150" spans="1:25" x14ac:dyDescent="0.15">
      <c r="A150" s="49" t="s">
        <v>111</v>
      </c>
      <c r="B150" s="50">
        <v>21.313373684210525</v>
      </c>
      <c r="C150" s="51">
        <v>5.4261411222780567E-2</v>
      </c>
      <c r="D150" s="51">
        <v>0.27518264475992982</v>
      </c>
      <c r="E150" s="51">
        <v>0.32548380175927916</v>
      </c>
      <c r="F150" s="51">
        <v>7.1278821837655595E-3</v>
      </c>
      <c r="G150" s="51">
        <v>8.3044022011005501E-3</v>
      </c>
      <c r="H150" s="51">
        <v>3.8082024793388444E-2</v>
      </c>
      <c r="I150" s="51">
        <v>1.3764705882352943E-3</v>
      </c>
      <c r="J150" s="51">
        <v>3.6595921450151055E-3</v>
      </c>
      <c r="K150" s="51">
        <v>7.8531785808493796E-3</v>
      </c>
      <c r="L150" s="51">
        <v>1.0561331679073614E-2</v>
      </c>
      <c r="M150" s="51">
        <v>1.4035407110091746E-2</v>
      </c>
      <c r="N150" s="51">
        <v>1.2630844553243571E-2</v>
      </c>
      <c r="O150" s="51">
        <v>1.0504858706578805E-2</v>
      </c>
      <c r="P150" s="51">
        <v>1.4202137404580152E-3</v>
      </c>
      <c r="Q150" s="52">
        <v>14.369145270573837</v>
      </c>
      <c r="R150" s="52">
        <v>5.2509506301191315</v>
      </c>
      <c r="S150" s="52">
        <v>54.499511669496961</v>
      </c>
      <c r="T150" s="52">
        <v>7.301929094887468</v>
      </c>
      <c r="U150" s="52">
        <v>3.2273434276635942</v>
      </c>
      <c r="V150" s="52">
        <v>4.7747712646241807</v>
      </c>
      <c r="W150" s="53">
        <v>-2.8082222222222222</v>
      </c>
      <c r="X150" s="53">
        <v>-6.2595466428571456</v>
      </c>
      <c r="Y150" s="53" t="s">
        <v>488</v>
      </c>
    </row>
    <row r="151" spans="1:25" x14ac:dyDescent="0.15">
      <c r="A151" s="49" t="s">
        <v>112</v>
      </c>
      <c r="B151" s="50">
        <v>21.455215789473684</v>
      </c>
      <c r="C151" s="51">
        <v>5.7343488274706853E-2</v>
      </c>
      <c r="D151" s="51">
        <v>0.24520657202105597</v>
      </c>
      <c r="E151" s="51">
        <v>0.30019690576652613</v>
      </c>
      <c r="F151" s="51">
        <v>6.1264441910051093E-3</v>
      </c>
      <c r="G151" s="51">
        <v>7.4905452726363184E-3</v>
      </c>
      <c r="H151" s="51">
        <v>4.0734504132231411E-2</v>
      </c>
      <c r="I151" s="51">
        <v>1.3129411764705886E-3</v>
      </c>
      <c r="J151" s="51">
        <v>3.5823262839879146E-3</v>
      </c>
      <c r="K151" s="51">
        <v>7.0127670799261408E-3</v>
      </c>
      <c r="L151" s="51">
        <v>9.3648883374689833E-3</v>
      </c>
      <c r="M151" s="51">
        <v>1.3258744266055047E-2</v>
      </c>
      <c r="N151" s="51">
        <v>1.3738310893512849E-2</v>
      </c>
      <c r="O151" s="51">
        <v>9.4820172009382354E-3</v>
      </c>
      <c r="P151" s="51">
        <v>7.786259541984734E-4</v>
      </c>
      <c r="Q151" s="52">
        <v>14.259567588637461</v>
      </c>
      <c r="R151" s="52">
        <v>5.0533338614611774</v>
      </c>
      <c r="S151" s="52">
        <v>54.419423704944371</v>
      </c>
      <c r="T151" s="52">
        <v>9.5188014031675472</v>
      </c>
      <c r="U151" s="52">
        <v>3.2351945051152282</v>
      </c>
      <c r="V151" s="52">
        <v>4.6681862973701804</v>
      </c>
      <c r="W151" s="53">
        <v>-3.7088888888888882</v>
      </c>
      <c r="X151" s="53">
        <v>-6.3869579999999999</v>
      </c>
      <c r="Y151" s="53" t="s">
        <v>488</v>
      </c>
    </row>
    <row r="152" spans="1:25" x14ac:dyDescent="0.15">
      <c r="A152" s="49" t="s">
        <v>113</v>
      </c>
      <c r="B152" s="50">
        <v>21.597057894736839</v>
      </c>
      <c r="C152" s="51">
        <v>5.8114007537688431E-2</v>
      </c>
      <c r="D152" s="51">
        <v>0.24876694847663106</v>
      </c>
      <c r="E152" s="51">
        <v>0.30952871343774596</v>
      </c>
      <c r="F152" s="51">
        <v>6.4946199236376265E-3</v>
      </c>
      <c r="G152" s="51">
        <v>7.2116058029014531E-3</v>
      </c>
      <c r="H152" s="51">
        <v>3.945284394749636E-2</v>
      </c>
      <c r="I152" s="51">
        <v>1.2705882352941182E-3</v>
      </c>
      <c r="J152" s="51">
        <v>3.6876888217522649E-3</v>
      </c>
      <c r="K152" s="51">
        <v>7.3115800580321804E-3</v>
      </c>
      <c r="L152" s="51">
        <v>9.8869727047146399E-3</v>
      </c>
      <c r="M152" s="51">
        <v>1.2981364678899088E-2</v>
      </c>
      <c r="N152" s="51">
        <v>1.3776499388004893E-2</v>
      </c>
      <c r="O152" s="51">
        <v>9.8782530995197189E-3</v>
      </c>
      <c r="P152" s="51">
        <v>7.9419847328244294E-4</v>
      </c>
      <c r="Q152" s="52">
        <v>14.006121044416236</v>
      </c>
      <c r="R152" s="52">
        <v>4.8256452565272108</v>
      </c>
      <c r="S152" s="52">
        <v>54.028744602861252</v>
      </c>
      <c r="T152" s="52">
        <v>9.6246456480966938</v>
      </c>
      <c r="U152" s="52">
        <v>3.2027195938380149</v>
      </c>
      <c r="V152" s="52">
        <v>4.6393029055739152</v>
      </c>
      <c r="W152" s="53">
        <v>-3.5223333333333335</v>
      </c>
      <c r="X152" s="53">
        <v>-5.4386556699999993</v>
      </c>
      <c r="Y152" s="53" t="s">
        <v>488</v>
      </c>
    </row>
    <row r="153" spans="1:25" x14ac:dyDescent="0.15">
      <c r="A153" s="49" t="s">
        <v>114</v>
      </c>
      <c r="B153" s="50">
        <v>21.738899999999997</v>
      </c>
      <c r="C153" s="51">
        <v>5.824644053601339E-2</v>
      </c>
      <c r="D153" s="51">
        <v>0.12955176264156962</v>
      </c>
      <c r="E153" s="51">
        <v>0.27239886528880308</v>
      </c>
      <c r="F153" s="51">
        <v>3.6905935439083661E-3</v>
      </c>
      <c r="G153" s="51">
        <v>6.2704685676171429E-3</v>
      </c>
      <c r="H153" s="51">
        <v>3.8873310646572685E-2</v>
      </c>
      <c r="I153" s="51">
        <v>1.185882352941177E-3</v>
      </c>
      <c r="J153" s="51">
        <v>3.469939577039274E-3</v>
      </c>
      <c r="K153" s="51">
        <v>7.4796623582168284E-3</v>
      </c>
      <c r="L153" s="51">
        <v>9.2669975186104245E-3</v>
      </c>
      <c r="M153" s="51">
        <v>1.2138130733944959E-2</v>
      </c>
      <c r="N153" s="51">
        <v>1.5132190942472454E-2</v>
      </c>
      <c r="O153" s="51">
        <v>8.809337652183627E-3</v>
      </c>
      <c r="P153" s="51">
        <v>3.5816793893129778E-4</v>
      </c>
      <c r="Q153" s="52">
        <v>13.903317546633902</v>
      </c>
      <c r="R153" s="52">
        <v>4.6761253492381485</v>
      </c>
      <c r="S153" s="52">
        <v>53.564506446379298</v>
      </c>
      <c r="T153" s="52">
        <v>12.732829996179495</v>
      </c>
      <c r="U153" s="52">
        <v>2.9677684539445086</v>
      </c>
      <c r="V153" s="52">
        <v>4.4541236034793883</v>
      </c>
      <c r="W153" s="53"/>
      <c r="X153" s="53"/>
      <c r="Y153" s="53" t="s">
        <v>488</v>
      </c>
    </row>
    <row r="154" spans="1:25" x14ac:dyDescent="0.15">
      <c r="A154" s="49" t="s">
        <v>115</v>
      </c>
      <c r="B154" s="50">
        <v>21.789244444444442</v>
      </c>
      <c r="C154" s="51">
        <v>5.0974664991624785E-2</v>
      </c>
      <c r="D154" s="51">
        <v>0.33789121071941297</v>
      </c>
      <c r="E154" s="51">
        <v>0.42515101671076788</v>
      </c>
      <c r="F154" s="51">
        <v>1.357684831655675E-2</v>
      </c>
      <c r="G154" s="51">
        <v>9.1539769884942494E-3</v>
      </c>
      <c r="H154" s="51">
        <v>2.9801385512882847E-2</v>
      </c>
      <c r="I154" s="51">
        <v>1.4823529411764713E-3</v>
      </c>
      <c r="J154" s="51">
        <v>3.8913897280966766E-3</v>
      </c>
      <c r="K154" s="51">
        <v>1.038375098918491E-2</v>
      </c>
      <c r="L154" s="51">
        <v>2.8932175351530195E-2</v>
      </c>
      <c r="M154" s="51">
        <v>1.7907626146788997E-2</v>
      </c>
      <c r="N154" s="51">
        <v>1.3623745410036716E-2</v>
      </c>
      <c r="O154" s="51">
        <v>1.3324583938344695E-2</v>
      </c>
      <c r="P154" s="51">
        <v>4.7558473282442752E-3</v>
      </c>
      <c r="Q154" s="52">
        <v>15.302031478647134</v>
      </c>
      <c r="R154" s="52">
        <v>5.1873078302030891</v>
      </c>
      <c r="S154" s="52">
        <v>57.179400775753443</v>
      </c>
      <c r="T154" s="52">
        <v>0.33867350305640459</v>
      </c>
      <c r="U154" s="52">
        <v>3.1906880725484981</v>
      </c>
      <c r="V154" s="52">
        <v>5.9187636407875255</v>
      </c>
      <c r="W154" s="53">
        <v>-3.8751249999999997</v>
      </c>
      <c r="X154" s="53"/>
      <c r="Y154" s="53" t="s">
        <v>488</v>
      </c>
    </row>
    <row r="155" spans="1:25" x14ac:dyDescent="0.15">
      <c r="A155" s="49" t="s">
        <v>116</v>
      </c>
      <c r="B155" s="50">
        <v>21.927744444444443</v>
      </c>
      <c r="C155" s="51">
        <v>5.2407349246231145E-2</v>
      </c>
      <c r="D155" s="51">
        <v>0.3353644919444887</v>
      </c>
      <c r="E155" s="51">
        <v>0.42349519654818957</v>
      </c>
      <c r="F155" s="51">
        <v>1.6813849357861857E-2</v>
      </c>
      <c r="G155" s="51">
        <v>8.72536268134067E-3</v>
      </c>
      <c r="H155" s="51">
        <v>2.9154982984929509E-2</v>
      </c>
      <c r="I155" s="51">
        <v>1.4823529411764713E-3</v>
      </c>
      <c r="J155" s="51">
        <v>3.7790030211480351E-3</v>
      </c>
      <c r="K155" s="51">
        <v>1.0673226061725138E-2</v>
      </c>
      <c r="L155" s="51">
        <v>2.9867576509511988E-2</v>
      </c>
      <c r="M155" s="51">
        <v>1.7142058486238534E-2</v>
      </c>
      <c r="N155" s="51">
        <v>1.215348837209302E-2</v>
      </c>
      <c r="O155" s="51">
        <v>1.4559365575784659E-2</v>
      </c>
      <c r="P155" s="51">
        <v>1.1361709923664124E-2</v>
      </c>
      <c r="Q155" s="52">
        <v>15.134658098522044</v>
      </c>
      <c r="R155" s="52">
        <v>5.160115349654661</v>
      </c>
      <c r="S155" s="52">
        <v>56.896764255197866</v>
      </c>
      <c r="T155" s="52">
        <v>0.31933792372881359</v>
      </c>
      <c r="U155" s="52">
        <v>3.1031740494739868</v>
      </c>
      <c r="V155" s="52">
        <v>5.7561974087065826</v>
      </c>
      <c r="W155" s="53"/>
      <c r="X155" s="53"/>
      <c r="Y155" s="53" t="s">
        <v>488</v>
      </c>
    </row>
    <row r="156" spans="1:25" x14ac:dyDescent="0.15">
      <c r="A156" s="49" t="s">
        <v>117</v>
      </c>
      <c r="B156" s="50">
        <v>22.066244444444443</v>
      </c>
      <c r="C156" s="51">
        <v>5.516084370299467E-2</v>
      </c>
      <c r="D156" s="51">
        <v>0.30101564995209207</v>
      </c>
      <c r="E156" s="51">
        <v>0.47045429491224849</v>
      </c>
      <c r="F156" s="51">
        <v>1.7010000000000001E-2</v>
      </c>
      <c r="G156" s="51">
        <v>1.0459066745422324E-2</v>
      </c>
      <c r="H156" s="51">
        <v>3.4010135654990899E-2</v>
      </c>
      <c r="I156" s="51">
        <v>1.8658536585365855E-3</v>
      </c>
      <c r="J156" s="51">
        <v>4.3809347181008899E-3</v>
      </c>
      <c r="K156" s="51">
        <v>1.1628709677419354E-2</v>
      </c>
      <c r="L156" s="51">
        <v>3.4297595951075489E-2</v>
      </c>
      <c r="M156" s="51">
        <v>1.687409221902017E-2</v>
      </c>
      <c r="N156" s="51">
        <v>1.9022058823529402E-2</v>
      </c>
      <c r="O156" s="51">
        <v>1.4303376534788539E-2</v>
      </c>
      <c r="P156" s="51">
        <v>1.4732282003710573E-2</v>
      </c>
      <c r="Q156" s="52">
        <v>15.197127200415117</v>
      </c>
      <c r="R156" s="52">
        <v>6.8181597720729892</v>
      </c>
      <c r="S156" s="52">
        <v>57.682468907271087</v>
      </c>
      <c r="T156" s="52">
        <v>0.34722674900153078</v>
      </c>
      <c r="U156" s="52">
        <v>3.0145448439446065</v>
      </c>
      <c r="V156" s="52">
        <v>5.973026402870893</v>
      </c>
      <c r="W156" s="53"/>
      <c r="X156" s="53"/>
      <c r="Y156" s="53" t="s">
        <v>488</v>
      </c>
    </row>
    <row r="157" spans="1:25" x14ac:dyDescent="0.15">
      <c r="A157" s="49" t="s">
        <v>118</v>
      </c>
      <c r="B157" s="50">
        <v>22.204744444444444</v>
      </c>
      <c r="C157" s="51">
        <v>5.2224121427594694E-2</v>
      </c>
      <c r="D157" s="51">
        <v>0.37494730118173131</v>
      </c>
      <c r="E157" s="51">
        <v>0.42818881157984706</v>
      </c>
      <c r="F157" s="51">
        <v>1.1791920731707319E-2</v>
      </c>
      <c r="G157" s="51">
        <v>8.663673951565266E-3</v>
      </c>
      <c r="H157" s="51">
        <v>3.2004952419518125E-2</v>
      </c>
      <c r="I157" s="51">
        <v>1.5256097560975611E-3</v>
      </c>
      <c r="J157" s="51">
        <v>3.9945845697329377E-3</v>
      </c>
      <c r="K157" s="51">
        <v>9.506612903225806E-3</v>
      </c>
      <c r="L157" s="51">
        <v>3.888983551244201E-2</v>
      </c>
      <c r="M157" s="51">
        <v>1.7186368876080691E-2</v>
      </c>
      <c r="N157" s="51">
        <v>1.0925735294117644E-2</v>
      </c>
      <c r="O157" s="51">
        <v>1.3918826739427011E-2</v>
      </c>
      <c r="P157" s="51">
        <v>3.9645640074211516E-3</v>
      </c>
      <c r="Q157" s="52">
        <v>14.598091498876734</v>
      </c>
      <c r="R157" s="52">
        <v>5.4687845876509771</v>
      </c>
      <c r="S157" s="52">
        <v>55.380988359957648</v>
      </c>
      <c r="T157" s="52">
        <v>0.28717354067379869</v>
      </c>
      <c r="U157" s="52">
        <v>3.1887919093945274</v>
      </c>
      <c r="V157" s="52">
        <v>5.4390223579658734</v>
      </c>
      <c r="W157" s="53"/>
      <c r="X157" s="53"/>
      <c r="Y157" s="53" t="s">
        <v>488</v>
      </c>
    </row>
    <row r="158" spans="1:25" x14ac:dyDescent="0.15">
      <c r="A158" s="49" t="s">
        <v>119</v>
      </c>
      <c r="B158" s="50">
        <v>22.343244444444441</v>
      </c>
      <c r="C158" s="51">
        <v>5.5561841925338445E-2</v>
      </c>
      <c r="D158" s="51">
        <v>0.39357393803896534</v>
      </c>
      <c r="E158" s="51">
        <v>0.44431672032144948</v>
      </c>
      <c r="F158" s="51">
        <v>1.3937926829268294E-2</v>
      </c>
      <c r="G158" s="51">
        <v>8.9263555818074377E-3</v>
      </c>
      <c r="H158" s="51">
        <v>3.0189147600728904E-2</v>
      </c>
      <c r="I158" s="51">
        <v>1.4268292682926829E-3</v>
      </c>
      <c r="J158" s="51">
        <v>3.7255192878338276E-3</v>
      </c>
      <c r="K158" s="51">
        <v>9.5446774193548387E-3</v>
      </c>
      <c r="L158" s="51">
        <v>3.0870054829185995E-2</v>
      </c>
      <c r="M158" s="51">
        <v>1.7688242074927956E-2</v>
      </c>
      <c r="N158" s="51">
        <v>1.3248529411764699E-2</v>
      </c>
      <c r="O158" s="51">
        <v>1.4697305593451565E-2</v>
      </c>
      <c r="P158" s="51">
        <v>6.5855287569573286E-3</v>
      </c>
      <c r="Q158" s="52">
        <v>14.50849437467569</v>
      </c>
      <c r="R158" s="52">
        <v>5.1565730856685184</v>
      </c>
      <c r="S158" s="52">
        <v>55.833258071188226</v>
      </c>
      <c r="T158" s="52">
        <v>0.31246701040316038</v>
      </c>
      <c r="U158" s="52">
        <v>3.0821478341579254</v>
      </c>
      <c r="V158" s="52">
        <v>5.682777419235495</v>
      </c>
      <c r="W158" s="53"/>
      <c r="X158" s="53"/>
      <c r="Y158" s="53" t="s">
        <v>488</v>
      </c>
    </row>
    <row r="159" spans="1:25" x14ac:dyDescent="0.15">
      <c r="A159" s="49" t="s">
        <v>120</v>
      </c>
      <c r="B159" s="50">
        <v>22.481744444444441</v>
      </c>
      <c r="C159" s="51">
        <v>5.1268802133187491E-2</v>
      </c>
      <c r="D159" s="51">
        <v>0.30538486106675194</v>
      </c>
      <c r="E159" s="51">
        <v>0.44223321057971143</v>
      </c>
      <c r="F159" s="51">
        <v>1.1359756097560975E-2</v>
      </c>
      <c r="G159" s="51">
        <v>8.1093916125221464E-3</v>
      </c>
      <c r="H159" s="51">
        <v>3.1225158939056499E-2</v>
      </c>
      <c r="I159" s="51">
        <v>1.5036585365853664E-3</v>
      </c>
      <c r="J159" s="51">
        <v>3.953189910979228E-3</v>
      </c>
      <c r="K159" s="51">
        <v>8.6691935483870948E-3</v>
      </c>
      <c r="L159" s="51">
        <v>3.624985238296078E-2</v>
      </c>
      <c r="M159" s="51">
        <v>1.6929855907780976E-2</v>
      </c>
      <c r="N159" s="51">
        <v>1.1881617647058819E-2</v>
      </c>
      <c r="O159" s="51">
        <v>1.4134549795361526E-2</v>
      </c>
      <c r="P159" s="51">
        <v>3.3826530612244897E-3</v>
      </c>
      <c r="Q159" s="52">
        <v>14.822802734228549</v>
      </c>
      <c r="R159" s="52">
        <v>5.3908362530902307</v>
      </c>
      <c r="S159" s="52">
        <v>56.323045561018056</v>
      </c>
      <c r="T159" s="52">
        <v>0.28553071729335699</v>
      </c>
      <c r="U159" s="52">
        <v>3.1435799792155317</v>
      </c>
      <c r="V159" s="52">
        <v>5.4749335098183485</v>
      </c>
      <c r="W159" s="53"/>
      <c r="X159" s="53"/>
      <c r="Y159" s="53" t="s">
        <v>488</v>
      </c>
    </row>
    <row r="160" spans="1:25" x14ac:dyDescent="0.15">
      <c r="A160" s="49" t="s">
        <v>121</v>
      </c>
      <c r="B160" s="50">
        <v>22.620244444444442</v>
      </c>
      <c r="C160" s="51">
        <v>5.0148365923697528E-2</v>
      </c>
      <c r="D160" s="51">
        <v>0.31538805493452587</v>
      </c>
      <c r="E160" s="51">
        <v>0.45857057268159418</v>
      </c>
      <c r="F160" s="51">
        <v>1.0628780487804879E-2</v>
      </c>
      <c r="G160" s="51">
        <v>7.7985115180153556E-3</v>
      </c>
      <c r="H160" s="51">
        <v>2.7437590605385719E-2</v>
      </c>
      <c r="I160" s="51">
        <v>1.1304878048780493E-3</v>
      </c>
      <c r="J160" s="51">
        <v>3.1873887240356081E-3</v>
      </c>
      <c r="K160" s="51">
        <v>7.812741935483869E-3</v>
      </c>
      <c r="L160" s="51">
        <v>2.1541374947279628E-2</v>
      </c>
      <c r="M160" s="51">
        <v>1.8424322766570602E-2</v>
      </c>
      <c r="N160" s="51">
        <v>1.6336029411764701E-2</v>
      </c>
      <c r="O160" s="51">
        <v>1.7126534788540242E-2</v>
      </c>
      <c r="P160" s="51">
        <v>1.3530612244897959E-3</v>
      </c>
      <c r="Q160" s="52">
        <v>14.905637621737057</v>
      </c>
      <c r="R160" s="52">
        <v>3.9709743433336548</v>
      </c>
      <c r="S160" s="52">
        <v>57.36880715242809</v>
      </c>
      <c r="T160" s="52">
        <v>0.31024318851012345</v>
      </c>
      <c r="U160" s="52">
        <v>3.0977233338710151</v>
      </c>
      <c r="V160" s="52">
        <v>5.7014197041135519</v>
      </c>
      <c r="W160" s="53"/>
      <c r="X160" s="53"/>
      <c r="Y160" s="53" t="s">
        <v>488</v>
      </c>
    </row>
    <row r="161" spans="1:25" x14ac:dyDescent="0.15">
      <c r="A161" s="49" t="s">
        <v>122</v>
      </c>
      <c r="B161" s="50">
        <v>22.758744444444442</v>
      </c>
      <c r="C161" s="51">
        <v>4.9664809243812391E-2</v>
      </c>
      <c r="D161" s="51">
        <v>0.28066432449696593</v>
      </c>
      <c r="E161" s="51">
        <v>0.45675163560547366</v>
      </c>
      <c r="F161" s="51">
        <v>1.1053536585365854E-2</v>
      </c>
      <c r="G161" s="51">
        <v>8.7583495063707668E-3</v>
      </c>
      <c r="H161" s="51">
        <v>2.6512978335695492E-2</v>
      </c>
      <c r="I161" s="51">
        <v>1.2073170731707319E-3</v>
      </c>
      <c r="J161" s="51">
        <v>3.2701780415430259E-3</v>
      </c>
      <c r="K161" s="51">
        <v>7.4130645161290306E-3</v>
      </c>
      <c r="L161" s="51">
        <v>2.3804217629692117E-2</v>
      </c>
      <c r="M161" s="51">
        <v>1.8123198847262247E-2</v>
      </c>
      <c r="N161" s="51">
        <v>1.708161764705882E-2</v>
      </c>
      <c r="O161" s="51">
        <v>1.5944747612551158E-2</v>
      </c>
      <c r="P161" s="51">
        <v>3.349536178107607E-3</v>
      </c>
      <c r="Q161" s="52">
        <v>15.52149350785686</v>
      </c>
      <c r="R161" s="52">
        <v>4.2959921098374112</v>
      </c>
      <c r="S161" s="52">
        <v>58.896579224751321</v>
      </c>
      <c r="T161" s="52">
        <v>0.33001717236983036</v>
      </c>
      <c r="U161" s="52">
        <v>3.1164917086895474</v>
      </c>
      <c r="V161" s="52">
        <v>5.7290477619425397</v>
      </c>
      <c r="W161" s="53"/>
      <c r="X161" s="53"/>
      <c r="Y161" s="53" t="s">
        <v>488</v>
      </c>
    </row>
    <row r="162" spans="1:25" x14ac:dyDescent="0.15">
      <c r="A162" s="49" t="s">
        <v>123</v>
      </c>
      <c r="B162" s="50">
        <v>22.897244444444443</v>
      </c>
      <c r="C162" s="51">
        <v>4.9676603309175449E-2</v>
      </c>
      <c r="D162" s="51">
        <v>0.24237623762376248</v>
      </c>
      <c r="E162" s="51">
        <v>0.43711813904443908</v>
      </c>
      <c r="F162" s="51">
        <v>1.3690975609756096E-2</v>
      </c>
      <c r="G162" s="51">
        <v>9.832486709982274E-3</v>
      </c>
      <c r="H162" s="51">
        <v>3.2495108321522581E-2</v>
      </c>
      <c r="I162" s="51">
        <v>1.6573170731707316E-3</v>
      </c>
      <c r="J162" s="51">
        <v>4.3395400593471802E-3</v>
      </c>
      <c r="K162" s="51">
        <v>9.5637096774193533E-3</v>
      </c>
      <c r="L162" s="51">
        <v>3.9821594264023624E-2</v>
      </c>
      <c r="M162" s="51">
        <v>1.6851786743515847E-2</v>
      </c>
      <c r="N162" s="51">
        <v>9.1764705882352911E-3</v>
      </c>
      <c r="O162" s="51">
        <v>1.321538199181446E-2</v>
      </c>
      <c r="P162" s="51">
        <v>3.5671614100185531E-3</v>
      </c>
      <c r="Q162" s="52">
        <v>15.089574478933905</v>
      </c>
      <c r="R162" s="52">
        <v>6.1580099036170264</v>
      </c>
      <c r="S162" s="52">
        <v>57.259721203165668</v>
      </c>
      <c r="T162" s="52">
        <v>0.32774326439812151</v>
      </c>
      <c r="U162" s="52">
        <v>3.2270040749192819</v>
      </c>
      <c r="V162" s="52">
        <v>5.7025588957080418</v>
      </c>
      <c r="W162" s="53"/>
      <c r="X162" s="53"/>
      <c r="Y162" s="53" t="s">
        <v>488</v>
      </c>
    </row>
    <row r="163" spans="1:25" x14ac:dyDescent="0.15">
      <c r="A163" s="49" t="s">
        <v>124</v>
      </c>
      <c r="B163" s="50">
        <v>23.035744444444443</v>
      </c>
      <c r="C163" s="51">
        <v>5.1410157887382971E-2</v>
      </c>
      <c r="D163" s="51">
        <v>0.20943161916892217</v>
      </c>
      <c r="E163" s="51">
        <v>0.47054329686630819</v>
      </c>
      <c r="F163" s="51">
        <v>1.4842813067150637E-2</v>
      </c>
      <c r="G163" s="51">
        <v>8.9746964856230026E-3</v>
      </c>
      <c r="H163" s="51">
        <v>3.3437690920024056E-2</v>
      </c>
      <c r="I163" s="51">
        <v>1.7018561484918799E-3</v>
      </c>
      <c r="J163" s="51">
        <v>4.4359245283018874E-3</v>
      </c>
      <c r="K163" s="51">
        <v>8.1995341614906798E-3</v>
      </c>
      <c r="L163" s="51">
        <v>4.4286015614299415E-2</v>
      </c>
      <c r="M163" s="51">
        <v>1.6891529818496114E-2</v>
      </c>
      <c r="N163" s="51">
        <v>9.2755026672137839E-3</v>
      </c>
      <c r="O163" s="51">
        <v>1.4013445378151258E-2</v>
      </c>
      <c r="P163" s="51">
        <v>3.734495641344958E-3</v>
      </c>
      <c r="Q163" s="52">
        <v>15.598661700512288</v>
      </c>
      <c r="R163" s="52">
        <v>6.2938780033531865</v>
      </c>
      <c r="S163" s="52">
        <v>58.759369253156592</v>
      </c>
      <c r="T163" s="52">
        <v>0.40297582349069999</v>
      </c>
      <c r="U163" s="52">
        <v>3.2984049985754953</v>
      </c>
      <c r="V163" s="52">
        <v>5.8316368600664017</v>
      </c>
      <c r="W163" s="53"/>
      <c r="X163" s="53"/>
      <c r="Y163" s="53" t="s">
        <v>488</v>
      </c>
    </row>
    <row r="164" spans="1:25" x14ac:dyDescent="0.15">
      <c r="A164" s="49" t="s">
        <v>125</v>
      </c>
      <c r="B164" s="50">
        <v>23.174244444444444</v>
      </c>
      <c r="C164" s="51">
        <v>4.7541742350146715E-2</v>
      </c>
      <c r="D164" s="51">
        <v>0.20736825346282439</v>
      </c>
      <c r="E164" s="51">
        <v>0.43093639903578712</v>
      </c>
      <c r="F164" s="51">
        <v>7.9056261343012704E-3</v>
      </c>
      <c r="G164" s="51">
        <v>8.5543130990415328E-3</v>
      </c>
      <c r="H164" s="51">
        <v>3.4573601924233317E-2</v>
      </c>
      <c r="I164" s="51">
        <v>1.6705336426914158E-3</v>
      </c>
      <c r="J164" s="51">
        <v>4.323622641509435E-3</v>
      </c>
      <c r="K164" s="51">
        <v>7.7414596273291947E-3</v>
      </c>
      <c r="L164" s="51">
        <v>1.2924859608272844E-2</v>
      </c>
      <c r="M164" s="51">
        <v>1.5609334485738985E-2</v>
      </c>
      <c r="N164" s="51">
        <v>9.870824784571193E-3</v>
      </c>
      <c r="O164" s="51">
        <v>1.3227731092436973E-2</v>
      </c>
      <c r="P164" s="51">
        <v>2.5126867995018684E-3</v>
      </c>
      <c r="Q164" s="52">
        <v>14.654074012649096</v>
      </c>
      <c r="R164" s="52">
        <v>6.2022382361191752</v>
      </c>
      <c r="S164" s="52">
        <v>57.11105808794747</v>
      </c>
      <c r="T164" s="52">
        <v>1.6757421374389525</v>
      </c>
      <c r="U164" s="52">
        <v>3.4443079910818137</v>
      </c>
      <c r="V164" s="52">
        <v>5.2434160144278517</v>
      </c>
      <c r="W164" s="53">
        <v>-1.8573333333333335</v>
      </c>
      <c r="X164" s="53">
        <v>-3.974626040000004</v>
      </c>
      <c r="Y164" s="53" t="s">
        <v>488</v>
      </c>
    </row>
    <row r="165" spans="1:25" x14ac:dyDescent="0.15">
      <c r="A165" s="49" t="s">
        <v>126</v>
      </c>
      <c r="B165" s="50">
        <v>23.312744444444441</v>
      </c>
      <c r="C165" s="51">
        <v>4.8084043593684504E-2</v>
      </c>
      <c r="D165" s="51">
        <v>0.20117815634453115</v>
      </c>
      <c r="E165" s="51">
        <v>0.44161691081030968</v>
      </c>
      <c r="F165" s="51">
        <v>9.8449750453720522E-3</v>
      </c>
      <c r="G165" s="51">
        <v>9.4396166134185309E-3</v>
      </c>
      <c r="H165" s="51">
        <v>3.3823680096211665E-2</v>
      </c>
      <c r="I165" s="51">
        <v>1.7227378190255223E-3</v>
      </c>
      <c r="J165" s="51">
        <v>4.1481509433962272E-3</v>
      </c>
      <c r="K165" s="51">
        <v>7.2650621118012411E-3</v>
      </c>
      <c r="L165" s="51">
        <v>1.1941446377208604E-2</v>
      </c>
      <c r="M165" s="51">
        <v>1.6445548833189286E-2</v>
      </c>
      <c r="N165" s="51">
        <v>8.7858022158391474E-3</v>
      </c>
      <c r="O165" s="51">
        <v>1.356050420168067E-2</v>
      </c>
      <c r="P165" s="51">
        <v>3.0199875466998764E-3</v>
      </c>
      <c r="Q165" s="52">
        <v>14.97858452683079</v>
      </c>
      <c r="R165" s="52">
        <v>6.3343861840860596</v>
      </c>
      <c r="S165" s="52">
        <v>58.274658820549533</v>
      </c>
      <c r="T165" s="52">
        <v>1.2190588739565655</v>
      </c>
      <c r="U165" s="52">
        <v>3.5994260159074107</v>
      </c>
      <c r="V165" s="52">
        <v>5.4325024633085919</v>
      </c>
      <c r="W165" s="53">
        <v>-0.80271428571428571</v>
      </c>
      <c r="X165" s="53">
        <v>-3.2939183542857151</v>
      </c>
      <c r="Y165" s="53" t="s">
        <v>488</v>
      </c>
    </row>
    <row r="166" spans="1:25" x14ac:dyDescent="0.15">
      <c r="A166" s="49" t="s">
        <v>127</v>
      </c>
      <c r="B166" s="50">
        <v>23.451244444444441</v>
      </c>
      <c r="C166" s="51">
        <v>4.9192748358250653E-2</v>
      </c>
      <c r="D166" s="51">
        <v>0.21413150772170036</v>
      </c>
      <c r="E166" s="51">
        <v>0.43211570554422396</v>
      </c>
      <c r="F166" s="51">
        <v>8.1403244101633417E-3</v>
      </c>
      <c r="G166" s="51">
        <v>9.4244089456869008E-3</v>
      </c>
      <c r="H166" s="51">
        <v>3.3294323511725787E-2</v>
      </c>
      <c r="I166" s="51">
        <v>1.6809744779582375E-3</v>
      </c>
      <c r="J166" s="51">
        <v>4.3446792452830193E-3</v>
      </c>
      <c r="K166" s="51">
        <v>7.924689440993787E-3</v>
      </c>
      <c r="L166" s="51">
        <v>1.4707971510751955E-2</v>
      </c>
      <c r="M166" s="51">
        <v>1.5921521175453764E-2</v>
      </c>
      <c r="N166" s="51">
        <v>7.6911776774723E-3</v>
      </c>
      <c r="O166" s="51">
        <v>1.383781512605042E-2</v>
      </c>
      <c r="P166" s="51">
        <v>4.0393524283935259E-3</v>
      </c>
      <c r="Q166" s="52">
        <v>14.489084060322787</v>
      </c>
      <c r="R166" s="52">
        <v>6.2023542684637301</v>
      </c>
      <c r="S166" s="52">
        <v>56.315357650505156</v>
      </c>
      <c r="T166" s="52">
        <v>0.75123406705690843</v>
      </c>
      <c r="U166" s="52">
        <v>3.4625357498516691</v>
      </c>
      <c r="V166" s="52">
        <v>5.2055163570485936</v>
      </c>
      <c r="W166" s="53">
        <v>-0.24533333333333338</v>
      </c>
      <c r="X166" s="53">
        <v>-2.7604843399999979</v>
      </c>
      <c r="Y166" s="53" t="s">
        <v>488</v>
      </c>
    </row>
    <row r="167" spans="1:25" x14ac:dyDescent="0.15">
      <c r="A167" s="49" t="s">
        <v>128</v>
      </c>
      <c r="B167" s="50">
        <v>23.589744444444442</v>
      </c>
      <c r="C167" s="51">
        <v>4.9433771133156362E-2</v>
      </c>
      <c r="D167" s="51">
        <v>0.21459003343416655</v>
      </c>
      <c r="E167" s="51">
        <v>0.44745781568700171</v>
      </c>
      <c r="F167" s="51">
        <v>9.8655626134301275E-3</v>
      </c>
      <c r="G167" s="51">
        <v>9.3744408945686895E-3</v>
      </c>
      <c r="H167" s="51">
        <v>3.6889536981358981E-2</v>
      </c>
      <c r="I167" s="51">
        <v>1.6705336426914158E-3</v>
      </c>
      <c r="J167" s="51">
        <v>4.3095849056603783E-3</v>
      </c>
      <c r="K167" s="51">
        <v>7.576552795031056E-3</v>
      </c>
      <c r="L167" s="51">
        <v>2.1764771949048078E-2</v>
      </c>
      <c r="M167" s="51">
        <v>1.6802333621434747E-2</v>
      </c>
      <c r="N167" s="51">
        <v>8.1136643414033635E-3</v>
      </c>
      <c r="O167" s="51">
        <v>1.4207563025210082E-2</v>
      </c>
      <c r="P167" s="51">
        <v>3.3153175591531764E-3</v>
      </c>
      <c r="Q167" s="52">
        <v>14.895855005638316</v>
      </c>
      <c r="R167" s="52">
        <v>6.061942239067891</v>
      </c>
      <c r="S167" s="52">
        <v>57.246838322169587</v>
      </c>
      <c r="T167" s="52">
        <v>0.70139716324339307</v>
      </c>
      <c r="U167" s="52">
        <v>3.4276986792615576</v>
      </c>
      <c r="V167" s="52">
        <v>5.4588072965578887</v>
      </c>
      <c r="W167" s="53">
        <v>-0.78200000000000003</v>
      </c>
      <c r="X167" s="53">
        <v>-2.6828611840000001</v>
      </c>
      <c r="Y167" s="53" t="s">
        <v>488</v>
      </c>
    </row>
    <row r="168" spans="1:25" x14ac:dyDescent="0.15">
      <c r="A168" s="49" t="s">
        <v>129</v>
      </c>
      <c r="B168" s="50">
        <v>23.728244444444442</v>
      </c>
      <c r="C168" s="51">
        <v>5.2783987704345378E-2</v>
      </c>
      <c r="D168" s="51">
        <v>0.21596561057156508</v>
      </c>
      <c r="E168" s="51">
        <v>0.46043018727980722</v>
      </c>
      <c r="F168" s="51">
        <v>1.1353357531760437E-2</v>
      </c>
      <c r="G168" s="51">
        <v>1.0216293929712458E-2</v>
      </c>
      <c r="H168" s="51">
        <v>3.0581371016235714E-2</v>
      </c>
      <c r="I168" s="51">
        <v>1.7749419953596289E-3</v>
      </c>
      <c r="J168" s="51">
        <v>4.7166792452830201E-3</v>
      </c>
      <c r="K168" s="51">
        <v>8.4377329192546566E-3</v>
      </c>
      <c r="L168" s="51">
        <v>5.0543117381180669E-2</v>
      </c>
      <c r="M168" s="51">
        <v>1.6412100259291268E-2</v>
      </c>
      <c r="N168" s="51">
        <v>1.1291916290521131E-2</v>
      </c>
      <c r="O168" s="51">
        <v>1.3847058823529408E-2</v>
      </c>
      <c r="P168" s="51">
        <v>3.5153798256537991E-3</v>
      </c>
      <c r="Q168" s="52">
        <v>15.264499907890118</v>
      </c>
      <c r="R168" s="52">
        <v>6.492963721646321</v>
      </c>
      <c r="S168" s="52">
        <v>58.245969946401246</v>
      </c>
      <c r="T168" s="52">
        <v>0.43892080288178453</v>
      </c>
      <c r="U168" s="52">
        <v>3.2237945941989974</v>
      </c>
      <c r="V168" s="52">
        <v>5.6535538781650949</v>
      </c>
      <c r="W168" s="53"/>
      <c r="X168" s="53"/>
      <c r="Y168" s="53" t="s">
        <v>488</v>
      </c>
    </row>
    <row r="169" spans="1:25" x14ac:dyDescent="0.15">
      <c r="A169" s="49" t="s">
        <v>130</v>
      </c>
      <c r="B169" s="50">
        <v>23.866744444444443</v>
      </c>
      <c r="C169" s="51">
        <v>6.1087222299846304E-2</v>
      </c>
      <c r="D169" s="51">
        <v>0.30205381308708806</v>
      </c>
      <c r="E169" s="51">
        <v>0.44361950676803263</v>
      </c>
      <c r="F169" s="51">
        <v>1.7174972776769513E-2</v>
      </c>
      <c r="G169" s="51">
        <v>1.1330798722044726E-2</v>
      </c>
      <c r="H169" s="51">
        <v>2.9136668671076366E-2</v>
      </c>
      <c r="I169" s="51">
        <v>1.8793503480278426E-3</v>
      </c>
      <c r="J169" s="51">
        <v>4.5763018867924533E-3</v>
      </c>
      <c r="K169" s="51">
        <v>1.2285559006211175E-2</v>
      </c>
      <c r="L169" s="51">
        <v>3.9131201205314346E-2</v>
      </c>
      <c r="M169" s="51">
        <v>1.5765427830596371E-2</v>
      </c>
      <c r="N169" s="51">
        <v>1.9520804267542054E-2</v>
      </c>
      <c r="O169" s="51">
        <v>1.4281512605042016E-2</v>
      </c>
      <c r="P169" s="51">
        <v>5.8399128268991282E-3</v>
      </c>
      <c r="Q169" s="52">
        <v>14.733539864710201</v>
      </c>
      <c r="R169" s="52">
        <v>6.6966262713080678</v>
      </c>
      <c r="S169" s="52">
        <v>56.491784986068872</v>
      </c>
      <c r="T169" s="52">
        <v>0.39360452530220641</v>
      </c>
      <c r="U169" s="52">
        <v>2.9398583074787834</v>
      </c>
      <c r="V169" s="52">
        <v>5.6994157371782217</v>
      </c>
      <c r="W169" s="53"/>
      <c r="X169" s="53"/>
      <c r="Y169" s="53" t="s">
        <v>488</v>
      </c>
    </row>
    <row r="170" spans="1:25" x14ac:dyDescent="0.15">
      <c r="A170" s="49" t="s">
        <v>131</v>
      </c>
      <c r="B170" s="50">
        <v>24.005244444444443</v>
      </c>
      <c r="C170" s="51">
        <v>5.0819154107924161E-2</v>
      </c>
      <c r="D170" s="51">
        <v>0.27005699810006334</v>
      </c>
      <c r="E170" s="51">
        <v>0.44020447068475965</v>
      </c>
      <c r="F170" s="51">
        <v>1.2921787709497199E-2</v>
      </c>
      <c r="G170" s="51">
        <v>1.0508766404199475E-2</v>
      </c>
      <c r="H170" s="51">
        <v>2.8980050738936083E-2</v>
      </c>
      <c r="I170" s="51">
        <v>1.6101895734597163E-3</v>
      </c>
      <c r="J170" s="51">
        <v>4.4282361847085543E-3</v>
      </c>
      <c r="K170" s="51">
        <v>1.034825536314293E-2</v>
      </c>
      <c r="L170" s="51">
        <v>5.4074597051935534E-2</v>
      </c>
      <c r="M170" s="51">
        <v>1.7568500289519406E-2</v>
      </c>
      <c r="N170" s="51">
        <v>9.3542553191489387E-3</v>
      </c>
      <c r="O170" s="51">
        <v>1.2783276450511952E-2</v>
      </c>
      <c r="P170" s="51">
        <v>4.3002816901408459E-3</v>
      </c>
      <c r="Q170" s="52">
        <v>15.628255732536557</v>
      </c>
      <c r="R170" s="52">
        <v>5.7306475883039631</v>
      </c>
      <c r="S170" s="52">
        <v>57.664526695793924</v>
      </c>
      <c r="T170" s="52">
        <v>0.38170586603372286</v>
      </c>
      <c r="U170" s="52">
        <v>3.1771345621053859</v>
      </c>
      <c r="V170" s="52">
        <v>5.9421917869704659</v>
      </c>
      <c r="W170" s="53"/>
      <c r="X170" s="53"/>
      <c r="Y170" s="53" t="s">
        <v>488</v>
      </c>
    </row>
    <row r="171" spans="1:25" x14ac:dyDescent="0.15">
      <c r="A171" s="49" t="s">
        <v>132</v>
      </c>
      <c r="B171" s="50">
        <v>24.143744444444444</v>
      </c>
      <c r="C171" s="51">
        <v>5.3730293770400714E-2</v>
      </c>
      <c r="D171" s="51">
        <v>0.30060797973400882</v>
      </c>
      <c r="E171" s="51">
        <v>0.43024750444414062</v>
      </c>
      <c r="F171" s="51">
        <v>1.3313966480446925E-2</v>
      </c>
      <c r="G171" s="51">
        <v>8.2813648293963253E-3</v>
      </c>
      <c r="H171" s="51">
        <v>3.2347763057222229E-2</v>
      </c>
      <c r="I171" s="51">
        <v>1.5781990521327022E-3</v>
      </c>
      <c r="J171" s="51">
        <v>4.5267978803936416E-3</v>
      </c>
      <c r="K171" s="51">
        <v>1.0750840010338589E-2</v>
      </c>
      <c r="L171" s="51">
        <v>3.9411957569913218E-2</v>
      </c>
      <c r="M171" s="51">
        <v>1.7389229878401864E-2</v>
      </c>
      <c r="N171" s="51">
        <v>9.7180851063829784E-3</v>
      </c>
      <c r="O171" s="51">
        <v>1.2914675767918091E-2</v>
      </c>
      <c r="P171" s="51">
        <v>4.5109859154929587E-3</v>
      </c>
      <c r="Q171" s="52">
        <v>15.327366668331999</v>
      </c>
      <c r="R171" s="52">
        <v>5.4155849695311753</v>
      </c>
      <c r="S171" s="52">
        <v>56.748653936417277</v>
      </c>
      <c r="T171" s="52">
        <v>0.36727135415061191</v>
      </c>
      <c r="U171" s="52">
        <v>3.1868188700273898</v>
      </c>
      <c r="V171" s="52">
        <v>5.8588189689644743</v>
      </c>
      <c r="W171" s="53"/>
      <c r="X171" s="53"/>
      <c r="Y171" s="53" t="s">
        <v>488</v>
      </c>
    </row>
    <row r="172" spans="1:25" x14ac:dyDescent="0.15">
      <c r="A172" s="49" t="s">
        <v>133</v>
      </c>
      <c r="B172" s="50">
        <v>24.282244444444444</v>
      </c>
      <c r="C172" s="51">
        <v>5.1753593999583292E-2</v>
      </c>
      <c r="D172" s="51">
        <v>0.27096896770107654</v>
      </c>
      <c r="E172" s="51">
        <v>0.44254663331215172</v>
      </c>
      <c r="F172" s="51">
        <v>1.068435754189944E-2</v>
      </c>
      <c r="G172" s="51">
        <v>8.3479965004374466E-3</v>
      </c>
      <c r="H172" s="51">
        <v>3.5593617363991449E-2</v>
      </c>
      <c r="I172" s="51">
        <v>1.5995260663507116E-3</v>
      </c>
      <c r="J172" s="51">
        <v>4.9351249053747161E-3</v>
      </c>
      <c r="K172" s="51">
        <v>1.0064616179891446E-2</v>
      </c>
      <c r="L172" s="51">
        <v>3.7944606695137072E-2</v>
      </c>
      <c r="M172" s="51">
        <v>1.7490069484655483E-2</v>
      </c>
      <c r="N172" s="51">
        <v>7.1808510638297863E-3</v>
      </c>
      <c r="O172" s="51">
        <v>1.3656143344709902E-2</v>
      </c>
      <c r="P172" s="51">
        <v>3.6681690140845072E-3</v>
      </c>
      <c r="Q172" s="52">
        <v>15.304255174774228</v>
      </c>
      <c r="R172" s="52">
        <v>5.6800642589927799</v>
      </c>
      <c r="S172" s="52">
        <v>57.12822512389176</v>
      </c>
      <c r="T172" s="52">
        <v>0.39787984340803301</v>
      </c>
      <c r="U172" s="52">
        <v>3.4601665991998605</v>
      </c>
      <c r="V172" s="52">
        <v>5.5788875196879308</v>
      </c>
      <c r="W172" s="53"/>
      <c r="X172" s="53"/>
      <c r="Y172" s="53" t="s">
        <v>488</v>
      </c>
    </row>
    <row r="173" spans="1:25" x14ac:dyDescent="0.15">
      <c r="A173" s="49" t="s">
        <v>134</v>
      </c>
      <c r="B173" s="50">
        <v>24.420744444444441</v>
      </c>
      <c r="C173" s="51">
        <v>5.4616813667615803E-2</v>
      </c>
      <c r="D173" s="51">
        <v>0.27621279290690309</v>
      </c>
      <c r="E173" s="51">
        <v>0.39021983413904332</v>
      </c>
      <c r="F173" s="51">
        <v>8.1452513966480417E-3</v>
      </c>
      <c r="G173" s="51">
        <v>6.8892388451443571E-3</v>
      </c>
      <c r="H173" s="51">
        <v>4.1764063947167064E-2</v>
      </c>
      <c r="I173" s="51">
        <v>1.3755924170616122E-3</v>
      </c>
      <c r="J173" s="51">
        <v>3.9495079485238451E-3</v>
      </c>
      <c r="K173" s="51">
        <v>7.996795037477385E-3</v>
      </c>
      <c r="L173" s="51">
        <v>1.0097547871607661E-2</v>
      </c>
      <c r="M173" s="51">
        <v>1.5361233352634632E-2</v>
      </c>
      <c r="N173" s="51">
        <v>9.5936170212765938E-3</v>
      </c>
      <c r="O173" s="51">
        <v>1.2511092150170652E-2</v>
      </c>
      <c r="P173" s="51">
        <v>2.2985915492957751E-3</v>
      </c>
      <c r="Q173" s="52">
        <v>14.392155535157292</v>
      </c>
      <c r="R173" s="52">
        <v>4.9488758316651618</v>
      </c>
      <c r="S173" s="52">
        <v>54.558339188847903</v>
      </c>
      <c r="T173" s="52">
        <v>4.1897213402792763</v>
      </c>
      <c r="U173" s="52">
        <v>3.3881039549567085</v>
      </c>
      <c r="V173" s="52">
        <v>5.1067409843557456</v>
      </c>
      <c r="W173" s="53">
        <v>-2.5647777777777776</v>
      </c>
      <c r="X173" s="53">
        <v>-5.6665564800000006</v>
      </c>
      <c r="Y173" s="53" t="s">
        <v>488</v>
      </c>
    </row>
    <row r="174" spans="1:25" x14ac:dyDescent="0.15">
      <c r="A174" s="49" t="s">
        <v>135</v>
      </c>
      <c r="B174" s="50">
        <v>24.559244444444442</v>
      </c>
      <c r="C174" s="51">
        <v>5.2005173970414612E-2</v>
      </c>
      <c r="D174" s="51">
        <v>0.21089297023432546</v>
      </c>
      <c r="E174" s="51">
        <v>0.37545643937870515</v>
      </c>
      <c r="F174" s="51">
        <v>7.1497206703910613E-3</v>
      </c>
      <c r="G174" s="51">
        <v>6.4061592300962361E-3</v>
      </c>
      <c r="H174" s="51">
        <v>3.5571461361897455E-2</v>
      </c>
      <c r="I174" s="51">
        <v>1.3862559241706166E-3</v>
      </c>
      <c r="J174" s="51">
        <v>3.7946252838758523E-3</v>
      </c>
      <c r="K174" s="51">
        <v>7.5850607392090978E-3</v>
      </c>
      <c r="L174" s="51">
        <v>9.5540845846535331E-3</v>
      </c>
      <c r="M174" s="51">
        <v>1.4565720903300525E-2</v>
      </c>
      <c r="N174" s="51">
        <v>1.0905319148936171E-2</v>
      </c>
      <c r="O174" s="51">
        <v>1.0840443686006828E-2</v>
      </c>
      <c r="P174" s="51">
        <v>2.1788732394366198E-3</v>
      </c>
      <c r="Q174" s="52">
        <v>14.734401482991602</v>
      </c>
      <c r="R174" s="52">
        <v>5.1363872375341231</v>
      </c>
      <c r="S174" s="52">
        <v>56.298103100282063</v>
      </c>
      <c r="T174" s="52">
        <v>6.1659067229740154</v>
      </c>
      <c r="U174" s="52">
        <v>3.2883108239536951</v>
      </c>
      <c r="V174" s="52">
        <v>5.0385230175375604</v>
      </c>
      <c r="W174" s="53">
        <v>-3.5074444444444439</v>
      </c>
      <c r="X174" s="53">
        <v>-7.4809250000000027</v>
      </c>
      <c r="Y174" s="53" t="s">
        <v>488</v>
      </c>
    </row>
    <row r="175" spans="1:25" x14ac:dyDescent="0.15">
      <c r="A175" s="49" t="s">
        <v>136</v>
      </c>
      <c r="B175" s="50">
        <v>24.697744444444442</v>
      </c>
      <c r="C175" s="51">
        <v>5.9289013125911519E-2</v>
      </c>
      <c r="D175" s="51">
        <v>0.24030398986700435</v>
      </c>
      <c r="E175" s="51">
        <v>0.29202660853757617</v>
      </c>
      <c r="F175" s="51">
        <v>5.8180367118914585E-3</v>
      </c>
      <c r="G175" s="51">
        <v>6.6948964712744237E-3</v>
      </c>
      <c r="H175" s="51">
        <v>3.8972407683324592E-2</v>
      </c>
      <c r="I175" s="51">
        <v>1.2156398104265409E-3</v>
      </c>
      <c r="J175" s="51">
        <v>3.4848599545798638E-3</v>
      </c>
      <c r="K175" s="51">
        <v>7.0818299302145239E-3</v>
      </c>
      <c r="L175" s="51">
        <v>9.1845295495247298E-3</v>
      </c>
      <c r="M175" s="51">
        <v>1.3064331210191089E-2</v>
      </c>
      <c r="N175" s="51">
        <v>1.2619148936170213E-2</v>
      </c>
      <c r="O175" s="51">
        <v>9.5921501706484665E-3</v>
      </c>
      <c r="P175" s="51">
        <v>1.0343661971830987E-3</v>
      </c>
      <c r="Q175" s="52">
        <v>13.660741212447046</v>
      </c>
      <c r="R175" s="52">
        <v>4.8186214953079887</v>
      </c>
      <c r="S175" s="52">
        <v>53.315334779850204</v>
      </c>
      <c r="T175" s="52">
        <v>10.355119447612591</v>
      </c>
      <c r="U175" s="52">
        <v>3.1129861947144581</v>
      </c>
      <c r="V175" s="52">
        <v>4.5347246137901198</v>
      </c>
      <c r="W175" s="53">
        <v>-3.8737777777777773</v>
      </c>
      <c r="X175" s="53">
        <v>-6.5502447000000039</v>
      </c>
      <c r="Y175" s="53" t="s">
        <v>488</v>
      </c>
    </row>
    <row r="176" spans="1:25" x14ac:dyDescent="0.15">
      <c r="A176" s="49" t="s">
        <v>137</v>
      </c>
      <c r="B176" s="50">
        <v>24.836244444444443</v>
      </c>
      <c r="C176" s="51">
        <v>5.9229113132856441E-2</v>
      </c>
      <c r="D176" s="51">
        <v>0.2017732742241925</v>
      </c>
      <c r="E176" s="51">
        <v>0.25600614538171351</v>
      </c>
      <c r="F176" s="51">
        <v>5.1572226656025526E-3</v>
      </c>
      <c r="G176" s="51">
        <v>6.0708855837464763E-3</v>
      </c>
      <c r="H176" s="51">
        <v>4.2096403978576884E-2</v>
      </c>
      <c r="I176" s="51">
        <v>1.0770142180094794E-3</v>
      </c>
      <c r="J176" s="51">
        <v>3.3933383800151401E-3</v>
      </c>
      <c r="K176" s="51">
        <v>6.8347893512535531E-3</v>
      </c>
      <c r="L176" s="51">
        <v>8.3475960876153756E-3</v>
      </c>
      <c r="M176" s="51">
        <v>1.146210191082803E-2</v>
      </c>
      <c r="N176" s="51">
        <v>1.4390425531914891E-2</v>
      </c>
      <c r="O176" s="51">
        <v>8.109215017064849E-3</v>
      </c>
      <c r="P176" s="51">
        <v>2.6816901408450701E-4</v>
      </c>
      <c r="Q176" s="52">
        <v>13.193905029778392</v>
      </c>
      <c r="R176" s="52">
        <v>4.3234454927490811</v>
      </c>
      <c r="S176" s="52">
        <v>51.821777439783475</v>
      </c>
      <c r="T176" s="52">
        <v>13.95337165932</v>
      </c>
      <c r="U176" s="52">
        <v>2.9193712444208462</v>
      </c>
      <c r="V176" s="52">
        <v>4.2003667463704835</v>
      </c>
      <c r="W176" s="53">
        <v>-3.8296666666666663</v>
      </c>
      <c r="X176" s="53">
        <v>-5.2324186399999988</v>
      </c>
      <c r="Y176" s="53" t="s">
        <v>488</v>
      </c>
    </row>
    <row r="177" spans="1:25" x14ac:dyDescent="0.15">
      <c r="A177" s="49" t="s">
        <v>138</v>
      </c>
      <c r="B177" s="50">
        <v>24.974744444444443</v>
      </c>
      <c r="C177" s="51">
        <v>5.9334424630816368E-2</v>
      </c>
      <c r="D177" s="51">
        <v>0.2344796954314721</v>
      </c>
      <c r="E177" s="51">
        <v>0.3095238724272022</v>
      </c>
      <c r="F177" s="51">
        <v>5.2734082397003744E-3</v>
      </c>
      <c r="G177" s="51">
        <v>6.406384615384615E-3</v>
      </c>
      <c r="H177" s="51">
        <v>4.0591810711249655E-2</v>
      </c>
      <c r="I177" s="51">
        <v>1.322274881516588E-3</v>
      </c>
      <c r="J177" s="51">
        <v>3.6303265940902029E-3</v>
      </c>
      <c r="K177" s="51">
        <v>7.1410504311471123E-3</v>
      </c>
      <c r="L177" s="51">
        <v>9.0722008781558752E-3</v>
      </c>
      <c r="M177" s="51">
        <v>1.2885008715862869E-2</v>
      </c>
      <c r="N177" s="51">
        <v>1.5332012934518991E-2</v>
      </c>
      <c r="O177" s="51">
        <v>9.5838668373879644E-3</v>
      </c>
      <c r="P177" s="51">
        <v>7.6166770379589314E-4</v>
      </c>
      <c r="Q177" s="52">
        <v>13.672193280257867</v>
      </c>
      <c r="R177" s="52">
        <v>5.1231279321456213</v>
      </c>
      <c r="S177" s="52">
        <v>53.13040977916053</v>
      </c>
      <c r="T177" s="52">
        <v>11.843330267072762</v>
      </c>
      <c r="U177" s="52">
        <v>3.1618305648641485</v>
      </c>
      <c r="V177" s="52">
        <v>4.5346912760462814</v>
      </c>
      <c r="W177" s="53">
        <v>-3.4742222222222221</v>
      </c>
      <c r="X177" s="53">
        <v>-5.2490167599999999</v>
      </c>
      <c r="Y177" s="53" t="s">
        <v>488</v>
      </c>
    </row>
    <row r="178" spans="1:25" x14ac:dyDescent="0.15">
      <c r="A178" s="49" t="s">
        <v>139</v>
      </c>
      <c r="B178" s="50">
        <v>25.113244444444444</v>
      </c>
      <c r="C178" s="51">
        <v>6.402061855670102E-2</v>
      </c>
      <c r="D178" s="51">
        <v>0.21609137055837557</v>
      </c>
      <c r="E178" s="51">
        <v>0.27164089396728952</v>
      </c>
      <c r="F178" s="51">
        <v>5.0229213483146068E-3</v>
      </c>
      <c r="G178" s="51">
        <v>5.5943076923076918E-3</v>
      </c>
      <c r="H178" s="51">
        <v>3.9210909606120725E-2</v>
      </c>
      <c r="I178" s="51">
        <v>1.1516587677725125E-3</v>
      </c>
      <c r="J178" s="51">
        <v>3.2470451010886479E-3</v>
      </c>
      <c r="K178" s="51">
        <v>7.2058008884243532E-3</v>
      </c>
      <c r="L178" s="51">
        <v>8.8340285400658608E-3</v>
      </c>
      <c r="M178" s="51">
        <v>1.1625740848343984E-2</v>
      </c>
      <c r="N178" s="51">
        <v>1.6703476151980593E-2</v>
      </c>
      <c r="O178" s="51">
        <v>9.8047375160051249E-3</v>
      </c>
      <c r="P178" s="51">
        <v>2.8562538892345992E-4</v>
      </c>
      <c r="Q178" s="52">
        <v>13.3863423442245</v>
      </c>
      <c r="R178" s="52">
        <v>4.3608177686800333</v>
      </c>
      <c r="S178" s="52">
        <v>52.820980389216317</v>
      </c>
      <c r="T178" s="52">
        <v>14.886213667012907</v>
      </c>
      <c r="U178" s="52">
        <v>3.0240987005472646</v>
      </c>
      <c r="V178" s="52">
        <v>4.3257696146472746</v>
      </c>
      <c r="W178" s="53">
        <v>-3.3490000000000002</v>
      </c>
      <c r="X178" s="53">
        <v>-5.2356385675000041</v>
      </c>
      <c r="Y178" s="53" t="s">
        <v>488</v>
      </c>
    </row>
    <row r="179" spans="1:25" x14ac:dyDescent="0.15">
      <c r="A179" s="49" t="s">
        <v>140</v>
      </c>
      <c r="B179" s="50">
        <v>25.251744444444444</v>
      </c>
      <c r="C179" s="51">
        <v>5.9142170521036493E-2</v>
      </c>
      <c r="D179" s="51">
        <v>0.22077411167512687</v>
      </c>
      <c r="E179" s="51">
        <v>0.29427953402739371</v>
      </c>
      <c r="F179" s="51">
        <v>5.2404494382022465E-3</v>
      </c>
      <c r="G179" s="51">
        <v>6.5166666666666671E-3</v>
      </c>
      <c r="H179" s="51">
        <v>3.8787730235194121E-2</v>
      </c>
      <c r="I179" s="51">
        <v>1.1729857819905219E-3</v>
      </c>
      <c r="J179" s="51">
        <v>3.348289269051322E-3</v>
      </c>
      <c r="K179" s="51">
        <v>7.067049908544551E-3</v>
      </c>
      <c r="L179" s="51">
        <v>8.8015504939626798E-3</v>
      </c>
      <c r="M179" s="51">
        <v>1.2356565950029054E-2</v>
      </c>
      <c r="N179" s="51">
        <v>1.3336297493936942E-2</v>
      </c>
      <c r="O179" s="51">
        <v>9.132522407170298E-3</v>
      </c>
      <c r="P179" s="51">
        <v>3.0942750466708154E-4</v>
      </c>
      <c r="Q179" s="52">
        <v>13.694119516799358</v>
      </c>
      <c r="R179" s="52">
        <v>4.688292670982654</v>
      </c>
      <c r="S179" s="52">
        <v>53.696590245921222</v>
      </c>
      <c r="T179" s="52">
        <v>12.723138060949628</v>
      </c>
      <c r="U179" s="52">
        <v>3.106420598375081</v>
      </c>
      <c r="V179" s="52">
        <v>4.4867727834241871</v>
      </c>
      <c r="W179" s="53">
        <v>-3.0285555555555552</v>
      </c>
      <c r="X179" s="53">
        <v>-5.2743450600000052</v>
      </c>
      <c r="Y179" s="53" t="s">
        <v>488</v>
      </c>
    </row>
    <row r="180" spans="1:25" x14ac:dyDescent="0.15">
      <c r="A180" s="49" t="s">
        <v>141</v>
      </c>
      <c r="B180" s="50">
        <v>25.390244444444445</v>
      </c>
      <c r="C180" s="51">
        <v>5.8156868208414592E-2</v>
      </c>
      <c r="D180" s="51">
        <v>0.24921319796954311</v>
      </c>
      <c r="E180" s="51">
        <v>0.29328831023009672</v>
      </c>
      <c r="F180" s="51">
        <v>5.8666666666666667E-3</v>
      </c>
      <c r="G180" s="51">
        <v>6.742243589743591E-3</v>
      </c>
      <c r="H180" s="51">
        <v>3.9311136299234932E-2</v>
      </c>
      <c r="I180" s="51">
        <v>1.183649289099527E-3</v>
      </c>
      <c r="J180" s="51">
        <v>3.5507776049766718E-3</v>
      </c>
      <c r="K180" s="51">
        <v>7.335301802978836E-3</v>
      </c>
      <c r="L180" s="51">
        <v>9.2454171240395171E-3</v>
      </c>
      <c r="M180" s="51">
        <v>1.2446513654851832E-2</v>
      </c>
      <c r="N180" s="51">
        <v>1.2522877930476956E-2</v>
      </c>
      <c r="O180" s="51">
        <v>8.825224071702947E-3</v>
      </c>
      <c r="P180" s="51">
        <v>5.3316739265712499E-4</v>
      </c>
      <c r="Q180" s="52">
        <v>13.427405296105894</v>
      </c>
      <c r="R180" s="52">
        <v>4.6197601149841825</v>
      </c>
      <c r="S180" s="52">
        <v>52.345712670405582</v>
      </c>
      <c r="T180" s="52">
        <v>11.326792045914685</v>
      </c>
      <c r="U180" s="52">
        <v>3.1974712505123066</v>
      </c>
      <c r="V180" s="52">
        <v>4.3819093653447059</v>
      </c>
      <c r="W180" s="53">
        <v>-3.0198888888888891</v>
      </c>
      <c r="X180" s="53">
        <v>-5.372101519999994</v>
      </c>
      <c r="Y180" s="53" t="s">
        <v>488</v>
      </c>
    </row>
    <row r="181" spans="1:25" x14ac:dyDescent="0.15">
      <c r="A181" s="49" t="s">
        <v>142</v>
      </c>
      <c r="B181" s="50">
        <v>25.528744444444445</v>
      </c>
      <c r="C181" s="51">
        <v>6.2374442741710778E-2</v>
      </c>
      <c r="D181" s="51">
        <v>0.22157360406091367</v>
      </c>
      <c r="E181" s="51">
        <v>0.26074882557400336</v>
      </c>
      <c r="F181" s="51">
        <v>3.5595505617977532E-3</v>
      </c>
      <c r="G181" s="51">
        <v>5.2849450549450547E-3</v>
      </c>
      <c r="H181" s="51">
        <v>4.3476112213091535E-2</v>
      </c>
      <c r="I181" s="51">
        <v>1.0343601895734602E-3</v>
      </c>
      <c r="J181" s="51">
        <v>3.4495334370139965E-3</v>
      </c>
      <c r="K181" s="51">
        <v>7.6683041546903585E-3</v>
      </c>
      <c r="L181" s="51">
        <v>8.7798984632272217E-3</v>
      </c>
      <c r="M181" s="51">
        <v>1.0658803021499125E-2</v>
      </c>
      <c r="N181" s="51">
        <v>1.4367259498787387E-2</v>
      </c>
      <c r="O181" s="51">
        <v>8.4411011523687612E-3</v>
      </c>
      <c r="P181" s="51">
        <v>9.5208462974486643E-5</v>
      </c>
      <c r="Q181" s="52">
        <v>12.682563142147247</v>
      </c>
      <c r="R181" s="52">
        <v>4.0239617388664168</v>
      </c>
      <c r="S181" s="52">
        <v>50.358424122779276</v>
      </c>
      <c r="T181" s="52">
        <v>18.367938504603789</v>
      </c>
      <c r="U181" s="52">
        <v>2.8369488174739024</v>
      </c>
      <c r="V181" s="52">
        <v>4.1257472532267254</v>
      </c>
      <c r="W181" s="53">
        <v>-2.6384444444444446</v>
      </c>
      <c r="X181" s="53">
        <v>-5.1950189800000004</v>
      </c>
      <c r="Y181" s="53" t="s">
        <v>488</v>
      </c>
    </row>
    <row r="182" spans="1:25" x14ac:dyDescent="0.15">
      <c r="A182" s="49" t="s">
        <v>143</v>
      </c>
      <c r="B182" s="50">
        <v>25.667244444444446</v>
      </c>
      <c r="C182" s="51">
        <v>5.7495994706046251E-2</v>
      </c>
      <c r="D182" s="51">
        <v>0.30529187817258879</v>
      </c>
      <c r="E182" s="51">
        <v>0.31101640481163789</v>
      </c>
      <c r="F182" s="51">
        <v>5.6642054574638856E-3</v>
      </c>
      <c r="G182" s="51">
        <v>6.6770769230769236E-3</v>
      </c>
      <c r="H182" s="51">
        <v>3.9055001416831971E-2</v>
      </c>
      <c r="I182" s="51">
        <v>1.1729857819905219E-3</v>
      </c>
      <c r="J182" s="51">
        <v>3.4929237947122866E-3</v>
      </c>
      <c r="K182" s="51">
        <v>7.418552390906716E-3</v>
      </c>
      <c r="L182" s="51">
        <v>9.4619374313940734E-3</v>
      </c>
      <c r="M182" s="51">
        <v>1.2885008715862871E-2</v>
      </c>
      <c r="N182" s="51">
        <v>1.3922716248989489E-2</v>
      </c>
      <c r="O182" s="51">
        <v>9.5358514724711956E-3</v>
      </c>
      <c r="P182" s="51">
        <v>2.6975731176104545E-4</v>
      </c>
      <c r="Q182" s="52">
        <v>13.80402065317147</v>
      </c>
      <c r="R182" s="52">
        <v>4.5279876543814472</v>
      </c>
      <c r="S182" s="52">
        <v>53.453304906667206</v>
      </c>
      <c r="T182" s="52">
        <v>10.31697787010792</v>
      </c>
      <c r="U182" s="52">
        <v>3.3016150341136479</v>
      </c>
      <c r="V182" s="52">
        <v>4.5431138278116077</v>
      </c>
      <c r="W182" s="53">
        <v>-2.8286666666666664</v>
      </c>
      <c r="X182" s="53">
        <v>-5.3172415000000015</v>
      </c>
      <c r="Y182" s="53" t="s">
        <v>488</v>
      </c>
    </row>
    <row r="183" spans="1:25" x14ac:dyDescent="0.15">
      <c r="A183" s="49" t="s">
        <v>144</v>
      </c>
      <c r="B183" s="50">
        <v>25.805744444444443</v>
      </c>
      <c r="C183" s="51">
        <v>5.8373154081916963E-2</v>
      </c>
      <c r="D183" s="51">
        <v>0.36571065989847712</v>
      </c>
      <c r="E183" s="51">
        <v>0.31620039133773109</v>
      </c>
      <c r="F183" s="51">
        <v>6.1056179775280904E-3</v>
      </c>
      <c r="G183" s="51">
        <v>6.8508547008546998E-3</v>
      </c>
      <c r="H183" s="51">
        <v>3.8063870784924923E-2</v>
      </c>
      <c r="I183" s="51">
        <v>1.2796208530805693E-3</v>
      </c>
      <c r="J183" s="51">
        <v>3.5869362363919132E-3</v>
      </c>
      <c r="K183" s="51">
        <v>7.2428011497256339E-3</v>
      </c>
      <c r="L183" s="51">
        <v>8.4767700329308453E-3</v>
      </c>
      <c r="M183" s="51">
        <v>1.3109877977919814E-2</v>
      </c>
      <c r="N183" s="51">
        <v>2.0647615198059823E-2</v>
      </c>
      <c r="O183" s="51">
        <v>1.1225992317541617E-2</v>
      </c>
      <c r="P183" s="51">
        <v>7.2358431860609831E-4</v>
      </c>
      <c r="Q183" s="52">
        <v>13.606474560336661</v>
      </c>
      <c r="R183" s="52">
        <v>4.7373145463805448</v>
      </c>
      <c r="S183" s="52">
        <v>52.699375758395973</v>
      </c>
      <c r="T183" s="52">
        <v>9.9836706660094006</v>
      </c>
      <c r="U183" s="52">
        <v>3.312168326140938</v>
      </c>
      <c r="V183" s="52">
        <v>4.5743037553551495</v>
      </c>
      <c r="W183" s="53">
        <v>-2.790428571428571</v>
      </c>
      <c r="X183" s="53">
        <v>-4.8905404800000056</v>
      </c>
      <c r="Y183" s="53" t="s">
        <v>488</v>
      </c>
    </row>
    <row r="184" spans="1:25" x14ac:dyDescent="0.15">
      <c r="A184" s="49" t="s">
        <v>145</v>
      </c>
      <c r="B184" s="50">
        <v>25.944244444444443</v>
      </c>
      <c r="C184" s="51">
        <v>6.1410619346820419E-2</v>
      </c>
      <c r="D184" s="51">
        <v>0.30604621309370983</v>
      </c>
      <c r="E184" s="51">
        <v>0.24853070052018433</v>
      </c>
      <c r="F184" s="51">
        <v>4.2216096579476871E-3</v>
      </c>
      <c r="G184" s="51">
        <v>5.0542389937106918E-3</v>
      </c>
      <c r="H184" s="51">
        <v>4.3015636363636381E-2</v>
      </c>
      <c r="I184" s="51">
        <v>1.0638297872340434E-3</v>
      </c>
      <c r="J184" s="51">
        <v>3.1374339622641514E-3</v>
      </c>
      <c r="K184" s="51">
        <v>7.1562089787345741E-3</v>
      </c>
      <c r="L184" s="51">
        <v>8.8080533185226368E-3</v>
      </c>
      <c r="M184" s="51">
        <v>1.0828329932964151E-2</v>
      </c>
      <c r="N184" s="51">
        <v>1.7984489125974557E-2</v>
      </c>
      <c r="O184" s="51">
        <v>8.1594432499717141E-3</v>
      </c>
      <c r="P184" s="51">
        <v>0</v>
      </c>
      <c r="Q184" s="52">
        <v>12.951360582169558</v>
      </c>
      <c r="R184" s="52">
        <v>4.1692169817604947</v>
      </c>
      <c r="S184" s="52">
        <v>51.248399146206843</v>
      </c>
      <c r="T184" s="52">
        <v>17.623394959162116</v>
      </c>
      <c r="U184" s="52">
        <v>2.9256113914999018</v>
      </c>
      <c r="V184" s="52">
        <v>4.1190612890998892</v>
      </c>
      <c r="W184" s="53">
        <v>-3.1675555555555559</v>
      </c>
      <c r="X184" s="53">
        <v>-4.7880417000000008</v>
      </c>
      <c r="Y184" s="53" t="s">
        <v>488</v>
      </c>
    </row>
    <row r="185" spans="1:25" x14ac:dyDescent="0.15">
      <c r="A185" s="49" t="s">
        <v>146</v>
      </c>
      <c r="B185" s="50">
        <v>26.082744444444444</v>
      </c>
      <c r="C185" s="51">
        <v>6.1970413588344972E-2</v>
      </c>
      <c r="D185" s="51">
        <v>0.29969191270860079</v>
      </c>
      <c r="E185" s="51">
        <v>0.27953046736185372</v>
      </c>
      <c r="F185" s="51">
        <v>6.0943098591549312E-3</v>
      </c>
      <c r="G185" s="51">
        <v>6.0455849056603771E-3</v>
      </c>
      <c r="H185" s="51">
        <v>4.2116433094994903E-2</v>
      </c>
      <c r="I185" s="51">
        <v>1.2127659574468091E-3</v>
      </c>
      <c r="J185" s="51">
        <v>3.3129056603773588E-3</v>
      </c>
      <c r="K185" s="51">
        <v>7.3792596482016252E-3</v>
      </c>
      <c r="L185" s="51">
        <v>8.8518744793113051E-3</v>
      </c>
      <c r="M185" s="51">
        <v>1.1775808802098517E-2</v>
      </c>
      <c r="N185" s="51">
        <v>1.286663931062782E-2</v>
      </c>
      <c r="O185" s="51">
        <v>8.9716532759986454E-3</v>
      </c>
      <c r="P185" s="51">
        <v>4.0077041602465337E-4</v>
      </c>
      <c r="Q185" s="52">
        <v>13.357596018799224</v>
      </c>
      <c r="R185" s="52">
        <v>4.7683001709722213</v>
      </c>
      <c r="S185" s="52">
        <v>52.58023067611358</v>
      </c>
      <c r="T185" s="52">
        <v>14.18332323529026</v>
      </c>
      <c r="U185" s="52">
        <v>3.1200779590229346</v>
      </c>
      <c r="V185" s="52">
        <v>4.3416176193891269</v>
      </c>
      <c r="W185" s="53">
        <v>-3.4228888888888891</v>
      </c>
      <c r="X185" s="53">
        <v>-4.933975819999997</v>
      </c>
      <c r="Y185" s="53" t="s">
        <v>488</v>
      </c>
    </row>
    <row r="186" spans="1:25" x14ac:dyDescent="0.15">
      <c r="A186" s="49" t="s">
        <v>147</v>
      </c>
      <c r="B186" s="50">
        <v>26.221244444444444</v>
      </c>
      <c r="C186" s="51">
        <v>6.0910377684181477E-2</v>
      </c>
      <c r="D186" s="51">
        <v>0.30130937098844668</v>
      </c>
      <c r="E186" s="51">
        <v>0.28598782752715496</v>
      </c>
      <c r="F186" s="51">
        <v>5.5509054325955758E-3</v>
      </c>
      <c r="G186" s="51">
        <v>5.2167547169811321E-3</v>
      </c>
      <c r="H186" s="51">
        <v>4.1779231869254356E-2</v>
      </c>
      <c r="I186" s="51">
        <v>1.1702127659574475E-3</v>
      </c>
      <c r="J186" s="51">
        <v>3.2497358490566047E-3</v>
      </c>
      <c r="K186" s="51">
        <v>7.1469152008401138E-3</v>
      </c>
      <c r="L186" s="51">
        <v>9.2572202166065001E-3</v>
      </c>
      <c r="M186" s="51">
        <v>1.2148032643544157E-2</v>
      </c>
      <c r="N186" s="51">
        <v>1.4623799753795649E-2</v>
      </c>
      <c r="O186" s="51">
        <v>9.2797329410433445E-3</v>
      </c>
      <c r="P186" s="51">
        <v>2.5146379044684128E-4</v>
      </c>
      <c r="Q186" s="52">
        <v>13.607353423133169</v>
      </c>
      <c r="R186" s="52">
        <v>4.5413280322898171</v>
      </c>
      <c r="S186" s="52">
        <v>53.040104755324343</v>
      </c>
      <c r="T186" s="52">
        <v>13.008813048834492</v>
      </c>
      <c r="U186" s="52">
        <v>3.1108634823251422</v>
      </c>
      <c r="V186" s="52">
        <v>4.3742573782248639</v>
      </c>
      <c r="W186" s="53">
        <v>-3.3748571428571426</v>
      </c>
      <c r="X186" s="53">
        <v>-5.0999570200000015</v>
      </c>
      <c r="Y186" s="53" t="s">
        <v>488</v>
      </c>
    </row>
    <row r="187" spans="1:25" x14ac:dyDescent="0.15">
      <c r="A187" s="49" t="s">
        <v>148</v>
      </c>
      <c r="B187" s="50">
        <v>26.261057471264365</v>
      </c>
      <c r="C187" s="51">
        <v>4.6724953393633931E-2</v>
      </c>
      <c r="D187" s="51">
        <v>0.18150192554557121</v>
      </c>
      <c r="E187" s="51">
        <v>0.43117857516140179</v>
      </c>
      <c r="F187" s="51">
        <v>9.7345352112676066E-3</v>
      </c>
      <c r="G187" s="51">
        <v>8.4053132075471697E-3</v>
      </c>
      <c r="H187" s="51">
        <v>3.7159575076608796E-2</v>
      </c>
      <c r="I187" s="51">
        <v>1.3723404255319158E-3</v>
      </c>
      <c r="J187" s="51">
        <v>3.6708679245283024E-3</v>
      </c>
      <c r="K187" s="51">
        <v>6.9331583092675222E-3</v>
      </c>
      <c r="L187" s="51">
        <v>1.0834782004998612E-2</v>
      </c>
      <c r="M187" s="51">
        <v>1.4189624016321773E-2</v>
      </c>
      <c r="N187" s="51">
        <v>1.2012064013130897E-2</v>
      </c>
      <c r="O187" s="51">
        <v>1.6141507298857084E-2</v>
      </c>
      <c r="P187" s="51">
        <v>4.7149460708782742E-4</v>
      </c>
      <c r="Q187" s="52">
        <v>14.283490585626989</v>
      </c>
      <c r="R187" s="52">
        <v>4.9915017923711344</v>
      </c>
      <c r="S187" s="52">
        <v>58.998727199146714</v>
      </c>
      <c r="T187" s="52">
        <v>3.5876361810983943</v>
      </c>
      <c r="U187" s="52">
        <v>3.1916179930150372</v>
      </c>
      <c r="V187" s="52">
        <v>4.783816961668407</v>
      </c>
      <c r="W187" s="53">
        <v>-0.50211111111111117</v>
      </c>
      <c r="X187" s="53">
        <v>-3.9361485800000011</v>
      </c>
      <c r="Y187" s="53" t="s">
        <v>488</v>
      </c>
    </row>
    <row r="188" spans="1:25" x14ac:dyDescent="0.15">
      <c r="A188" s="49" t="s">
        <v>149</v>
      </c>
      <c r="B188" s="50">
        <v>26.33870964517741</v>
      </c>
      <c r="C188" s="51">
        <v>4.7189463508941529E-2</v>
      </c>
      <c r="D188" s="51">
        <v>0.20830551989730423</v>
      </c>
      <c r="E188" s="51">
        <v>0.47194204809493578</v>
      </c>
      <c r="F188" s="51">
        <v>1.0199788732394367E-2</v>
      </c>
      <c r="G188" s="51">
        <v>8.5320754716981129E-3</v>
      </c>
      <c r="H188" s="51">
        <v>3.4810406537282949E-2</v>
      </c>
      <c r="I188" s="51">
        <v>1.5106382978723413E-3</v>
      </c>
      <c r="J188" s="51">
        <v>4.0639245283018875E-3</v>
      </c>
      <c r="K188" s="51">
        <v>7.6116040955631374E-3</v>
      </c>
      <c r="L188" s="51">
        <v>1.0922424326575952E-2</v>
      </c>
      <c r="M188" s="51">
        <v>1.4595686388807925E-2</v>
      </c>
      <c r="N188" s="51">
        <v>1.9760853508411978E-2</v>
      </c>
      <c r="O188" s="51">
        <v>2.00438497227566E-2</v>
      </c>
      <c r="P188" s="51">
        <v>2.8572573189522346E-3</v>
      </c>
      <c r="Q188" s="52">
        <v>14.398885465925277</v>
      </c>
      <c r="R188" s="52">
        <v>5.5015877719087447</v>
      </c>
      <c r="S188" s="52">
        <v>60.736518712179631</v>
      </c>
      <c r="T188" s="52">
        <v>0.49166885140970751</v>
      </c>
      <c r="U188" s="52">
        <v>3.0132341465184003</v>
      </c>
      <c r="V188" s="52">
        <v>5.0872787895975424</v>
      </c>
      <c r="W188" s="53"/>
      <c r="X188" s="53"/>
      <c r="Y188" s="53" t="s">
        <v>488</v>
      </c>
    </row>
    <row r="189" spans="1:25" x14ac:dyDescent="0.15">
      <c r="A189" s="49" t="s">
        <v>150</v>
      </c>
      <c r="B189" s="50">
        <v>26.416361819090451</v>
      </c>
      <c r="C189" s="51">
        <v>4.8725920044189755E-2</v>
      </c>
      <c r="D189" s="51">
        <v>0.2133889602053915</v>
      </c>
      <c r="E189" s="51">
        <v>0.4661614902837295</v>
      </c>
      <c r="F189" s="51">
        <v>1.1411492957746482E-2</v>
      </c>
      <c r="G189" s="51">
        <v>9.5698544474393538E-3</v>
      </c>
      <c r="H189" s="51">
        <v>3.5462328907048021E-2</v>
      </c>
      <c r="I189" s="51">
        <v>1.5212765957446819E-3</v>
      </c>
      <c r="J189" s="51">
        <v>4.2043018867924534E-3</v>
      </c>
      <c r="K189" s="51">
        <v>8.0577054344972421E-3</v>
      </c>
      <c r="L189" s="51">
        <v>1.1393501805054152E-2</v>
      </c>
      <c r="M189" s="51">
        <v>1.5013028271640921E-2</v>
      </c>
      <c r="N189" s="51">
        <v>1.7734837915469839E-2</v>
      </c>
      <c r="O189" s="51">
        <v>1.9661084078307127E-2</v>
      </c>
      <c r="P189" s="51">
        <v>3.0835747303543911E-3</v>
      </c>
      <c r="Q189" s="52">
        <v>14.299099166263465</v>
      </c>
      <c r="R189" s="52">
        <v>5.5418802997071515</v>
      </c>
      <c r="S189" s="52">
        <v>60.557559152571912</v>
      </c>
      <c r="T189" s="52">
        <v>0.35582164605409122</v>
      </c>
      <c r="U189" s="52">
        <v>2.9384254298239254</v>
      </c>
      <c r="V189" s="52">
        <v>5.1399198027928596</v>
      </c>
      <c r="W189" s="53"/>
      <c r="X189" s="53"/>
      <c r="Y189" s="53" t="s">
        <v>488</v>
      </c>
    </row>
    <row r="190" spans="1:25" x14ac:dyDescent="0.15">
      <c r="A190" s="49" t="s">
        <v>151</v>
      </c>
      <c r="B190" s="50">
        <v>26.494013993003495</v>
      </c>
      <c r="C190" s="51">
        <v>4.929762480149142E-2</v>
      </c>
      <c r="D190" s="51">
        <v>0.22852374839537865</v>
      </c>
      <c r="E190" s="51">
        <v>0.46269981266934135</v>
      </c>
      <c r="F190" s="51">
        <v>1.0695718309859159E-2</v>
      </c>
      <c r="G190" s="51">
        <v>9.7091536388140155E-3</v>
      </c>
      <c r="H190" s="51">
        <v>3.2641078651685404E-2</v>
      </c>
      <c r="I190" s="51">
        <v>1.5957446808510646E-3</v>
      </c>
      <c r="J190" s="51">
        <v>4.2815094339622647E-3</v>
      </c>
      <c r="K190" s="51">
        <v>8.0948805460750832E-3</v>
      </c>
      <c r="L190" s="51">
        <v>1.0845737295195784E-2</v>
      </c>
      <c r="M190" s="51">
        <v>1.5791314485572722E-2</v>
      </c>
      <c r="N190" s="51">
        <v>1.8502995486253591E-2</v>
      </c>
      <c r="O190" s="51">
        <v>1.7252461242503122E-2</v>
      </c>
      <c r="P190" s="51">
        <v>3.0458551617873644E-3</v>
      </c>
      <c r="Q190" s="52">
        <v>14.917005863625059</v>
      </c>
      <c r="R190" s="52">
        <v>5.9473279237360268</v>
      </c>
      <c r="S190" s="52">
        <v>58.211137640992185</v>
      </c>
      <c r="T190" s="52">
        <v>0.36451084407072448</v>
      </c>
      <c r="U190" s="52">
        <v>3.0784373477868865</v>
      </c>
      <c r="V190" s="52">
        <v>5.3775194493906824</v>
      </c>
      <c r="W190" s="53"/>
      <c r="X190" s="53"/>
      <c r="Y190" s="53" t="s">
        <v>488</v>
      </c>
    </row>
    <row r="191" spans="1:25" x14ac:dyDescent="0.15">
      <c r="A191" s="49" t="s">
        <v>152</v>
      </c>
      <c r="B191" s="50">
        <v>26.57166616691654</v>
      </c>
      <c r="C191" s="51">
        <v>4.7084001282462318E-2</v>
      </c>
      <c r="D191" s="51">
        <v>0.22892857142857148</v>
      </c>
      <c r="E191" s="51">
        <v>0.46942578973861609</v>
      </c>
      <c r="F191" s="51">
        <v>8.8622606019151864E-3</v>
      </c>
      <c r="G191" s="51">
        <v>9.2084864864864849E-3</v>
      </c>
      <c r="H191" s="51">
        <v>3.8169484717253503E-2</v>
      </c>
      <c r="I191" s="51">
        <v>1.8113207547169822E-3</v>
      </c>
      <c r="J191" s="51">
        <v>4.2346636259977194E-3</v>
      </c>
      <c r="K191" s="51">
        <v>7.4803992015968056E-3</v>
      </c>
      <c r="L191" s="51">
        <v>1.0831754272117671E-2</v>
      </c>
      <c r="M191" s="51">
        <v>1.6767177242888408E-2</v>
      </c>
      <c r="N191" s="51">
        <v>9.3983999999999995E-3</v>
      </c>
      <c r="O191" s="51">
        <v>1.3664538887955656E-2</v>
      </c>
      <c r="P191" s="51">
        <v>2.7366984993178727E-3</v>
      </c>
      <c r="Q191" s="52">
        <v>15.519177654518906</v>
      </c>
      <c r="R191" s="52">
        <v>6.7427567757975506</v>
      </c>
      <c r="S191" s="52">
        <v>59.462740277439146</v>
      </c>
      <c r="T191" s="52">
        <v>0.75555856188791815</v>
      </c>
      <c r="U191" s="52">
        <v>3.6420222112119491</v>
      </c>
      <c r="V191" s="52">
        <v>5.7243684244850561</v>
      </c>
      <c r="W191" s="53">
        <v>0.36114285714285721</v>
      </c>
      <c r="X191" s="53">
        <v>-1.9122772960000027</v>
      </c>
      <c r="Y191" s="53" t="s">
        <v>488</v>
      </c>
    </row>
    <row r="192" spans="1:25" x14ac:dyDescent="0.15">
      <c r="A192" s="49" t="s">
        <v>153</v>
      </c>
      <c r="B192" s="50">
        <v>26.649318340829584</v>
      </c>
      <c r="C192" s="51">
        <v>5.0156567275836263E-2</v>
      </c>
      <c r="D192" s="51">
        <v>0.25476190476190474</v>
      </c>
      <c r="E192" s="51">
        <v>0.4486879228002113</v>
      </c>
      <c r="F192" s="51">
        <v>1.0502667578659374E-2</v>
      </c>
      <c r="G192" s="51">
        <v>8.7738378378378386E-3</v>
      </c>
      <c r="H192" s="51">
        <v>3.6477411661331831E-2</v>
      </c>
      <c r="I192" s="51">
        <v>1.6981132075471704E-3</v>
      </c>
      <c r="J192" s="51">
        <v>4.1851767388825538E-3</v>
      </c>
      <c r="K192" s="51">
        <v>7.6876646706586851E-3</v>
      </c>
      <c r="L192" s="51">
        <v>1.4449924291585547E-2</v>
      </c>
      <c r="M192" s="51">
        <v>1.6213916849015322E-2</v>
      </c>
      <c r="N192" s="51">
        <v>7.4207999999999982E-3</v>
      </c>
      <c r="O192" s="51">
        <v>1.3211825970099112E-2</v>
      </c>
      <c r="P192" s="51">
        <v>2.9315143246930429E-3</v>
      </c>
      <c r="Q192" s="52">
        <v>15.334438500501401</v>
      </c>
      <c r="R192" s="52">
        <v>6.4245082984056658</v>
      </c>
      <c r="S192" s="52">
        <v>59.130141850529235</v>
      </c>
      <c r="T192" s="52">
        <v>1.1773989652350658</v>
      </c>
      <c r="U192" s="52">
        <v>3.789961208927989</v>
      </c>
      <c r="V192" s="52">
        <v>5.5913657295889481</v>
      </c>
      <c r="W192" s="53">
        <v>-1.0190000000000001</v>
      </c>
      <c r="X192" s="53">
        <v>-2.9501501950000026</v>
      </c>
      <c r="Y192" s="53" t="s">
        <v>488</v>
      </c>
    </row>
    <row r="193" spans="1:25" x14ac:dyDescent="0.15">
      <c r="A193" s="49" t="s">
        <v>154</v>
      </c>
      <c r="B193" s="50">
        <v>26.726970514742625</v>
      </c>
      <c r="C193" s="51">
        <v>5.4716255210003187E-2</v>
      </c>
      <c r="D193" s="51">
        <v>0.35619047619047622</v>
      </c>
      <c r="E193" s="51">
        <v>0.41267903402045408</v>
      </c>
      <c r="F193" s="51">
        <v>9.1034969220246276E-3</v>
      </c>
      <c r="G193" s="51">
        <v>8.4908108108108123E-3</v>
      </c>
      <c r="H193" s="51">
        <v>3.9147894307412293E-2</v>
      </c>
      <c r="I193" s="51">
        <v>1.5849056603773595E-3</v>
      </c>
      <c r="J193" s="51">
        <v>4.8072976054732031E-3</v>
      </c>
      <c r="K193" s="51">
        <v>7.8007185628742506E-3</v>
      </c>
      <c r="L193" s="51">
        <v>4.8845295262816356E-2</v>
      </c>
      <c r="M193" s="51">
        <v>1.6913960612691469E-2</v>
      </c>
      <c r="N193" s="51">
        <v>7.1904000000000004E-3</v>
      </c>
      <c r="O193" s="51">
        <v>1.342432387031749E-2</v>
      </c>
      <c r="P193" s="51">
        <v>3.1356070941336977E-3</v>
      </c>
      <c r="Q193" s="52">
        <v>14.305933553052759</v>
      </c>
      <c r="R193" s="52">
        <v>5.9485345949836885</v>
      </c>
      <c r="S193" s="52">
        <v>53.608986103921559</v>
      </c>
      <c r="T193" s="52">
        <v>0.29624765726051261</v>
      </c>
      <c r="U193" s="52">
        <v>3.4488337301059815</v>
      </c>
      <c r="V193" s="52">
        <v>5.1409001499969493</v>
      </c>
      <c r="W193" s="53"/>
      <c r="X193" s="53"/>
      <c r="Y193" s="53" t="s">
        <v>488</v>
      </c>
    </row>
    <row r="194" spans="1:25" x14ac:dyDescent="0.15">
      <c r="A194" s="49" t="s">
        <v>155</v>
      </c>
      <c r="B194" s="50">
        <v>26.80462268865567</v>
      </c>
      <c r="C194" s="51">
        <v>7.9431976060703222E-2</v>
      </c>
      <c r="D194" s="51">
        <v>0.42035714285714282</v>
      </c>
      <c r="E194" s="51">
        <v>0.44123313403150377</v>
      </c>
      <c r="F194" s="51">
        <v>1.9918502051983582E-2</v>
      </c>
      <c r="G194" s="51">
        <v>9.7745405405405394E-3</v>
      </c>
      <c r="H194" s="51">
        <v>2.7073168894746754E-2</v>
      </c>
      <c r="I194" s="51">
        <v>1.4150943396226421E-3</v>
      </c>
      <c r="J194" s="51">
        <v>4.0862029646522224E-3</v>
      </c>
      <c r="K194" s="51">
        <v>1.236998003992016E-2</v>
      </c>
      <c r="L194" s="51">
        <v>3.3701319489508975E-2</v>
      </c>
      <c r="M194" s="51">
        <v>1.6292954048140046E-2</v>
      </c>
      <c r="N194" s="51">
        <v>2.5007999999999996E-2</v>
      </c>
      <c r="O194" s="51">
        <v>1.6861246430371242E-2</v>
      </c>
      <c r="P194" s="51">
        <v>8.8130968622100979E-3</v>
      </c>
      <c r="Q194" s="52">
        <v>14.792983221630498</v>
      </c>
      <c r="R194" s="52">
        <v>5.014209366911544</v>
      </c>
      <c r="S194" s="52">
        <v>56.793984927450126</v>
      </c>
      <c r="T194" s="52">
        <v>0.36569054721115013</v>
      </c>
      <c r="U194" s="52">
        <v>2.596264456018659</v>
      </c>
      <c r="V194" s="52">
        <v>5.9774821970661183</v>
      </c>
      <c r="W194" s="53"/>
      <c r="X194" s="53"/>
      <c r="Y194" s="53" t="s">
        <v>488</v>
      </c>
    </row>
    <row r="195" spans="1:25" x14ac:dyDescent="0.15">
      <c r="A195" s="49" t="s">
        <v>156</v>
      </c>
      <c r="B195" s="50">
        <v>26.882274862568714</v>
      </c>
      <c r="C195" s="51">
        <v>5.3241423533183709E-2</v>
      </c>
      <c r="D195" s="51">
        <v>0.35488095238095246</v>
      </c>
      <c r="E195" s="51">
        <v>0.43925648549434637</v>
      </c>
      <c r="F195" s="51">
        <v>1.2513816689466488E-2</v>
      </c>
      <c r="G195" s="51">
        <v>8.1370270270270297E-3</v>
      </c>
      <c r="H195" s="51">
        <v>3.1032850059624684E-2</v>
      </c>
      <c r="I195" s="51">
        <v>1.4603773584905668E-3</v>
      </c>
      <c r="J195" s="51">
        <v>4.0649942987457241E-3</v>
      </c>
      <c r="K195" s="51">
        <v>1.0853173652694611E-2</v>
      </c>
      <c r="L195" s="51">
        <v>4.1563443651308672E-2</v>
      </c>
      <c r="M195" s="51">
        <v>1.7636586433260396E-2</v>
      </c>
      <c r="N195" s="51">
        <v>1.7587200000000001E-2</v>
      </c>
      <c r="O195" s="51">
        <v>1.4579203762808668E-2</v>
      </c>
      <c r="P195" s="51">
        <v>3.525238744884039E-3</v>
      </c>
      <c r="Q195" s="52">
        <v>15.239175758742945</v>
      </c>
      <c r="R195" s="52">
        <v>5.1547294275606115</v>
      </c>
      <c r="S195" s="52">
        <v>56.78294567634336</v>
      </c>
      <c r="T195" s="52">
        <v>0.31821978196024597</v>
      </c>
      <c r="U195" s="52">
        <v>3.0742420031177868</v>
      </c>
      <c r="V195" s="52">
        <v>5.8756460492738931</v>
      </c>
      <c r="W195" s="53"/>
      <c r="X195" s="53"/>
      <c r="Y195" s="53" t="s">
        <v>488</v>
      </c>
    </row>
    <row r="196" spans="1:25" x14ac:dyDescent="0.15">
      <c r="A196" s="49" t="s">
        <v>157</v>
      </c>
      <c r="B196" s="50">
        <v>26.959927036481758</v>
      </c>
      <c r="C196" s="51">
        <v>5.5257026824837019E-2</v>
      </c>
      <c r="D196" s="51">
        <v>0.34214285714285714</v>
      </c>
      <c r="E196" s="51">
        <v>0.45870670709997446</v>
      </c>
      <c r="F196" s="51">
        <v>1.2503659370725036E-2</v>
      </c>
      <c r="G196" s="51">
        <v>9.0669729729729743E-3</v>
      </c>
      <c r="H196" s="51">
        <v>3.0906232347957072E-2</v>
      </c>
      <c r="I196" s="51">
        <v>1.5849056603773595E-3</v>
      </c>
      <c r="J196" s="51">
        <v>4.227594070695553E-3</v>
      </c>
      <c r="K196" s="51">
        <v>9.2986826347305398E-3</v>
      </c>
      <c r="L196" s="51">
        <v>5.2474843175427208E-2</v>
      </c>
      <c r="M196" s="51">
        <v>1.6744595185995623E-2</v>
      </c>
      <c r="N196" s="51">
        <v>1.6934400000000002E-2</v>
      </c>
      <c r="O196" s="51">
        <v>1.4837896858726695E-2</v>
      </c>
      <c r="P196" s="51">
        <v>3.868485675306958E-3</v>
      </c>
      <c r="Q196" s="52">
        <v>14.899344828857318</v>
      </c>
      <c r="R196" s="52">
        <v>5.7267103751767658</v>
      </c>
      <c r="S196" s="52">
        <v>57.802415051077759</v>
      </c>
      <c r="T196" s="52">
        <v>0.31355502468125551</v>
      </c>
      <c r="U196" s="52">
        <v>3.0221957438580809</v>
      </c>
      <c r="V196" s="52">
        <v>5.6920467536073946</v>
      </c>
      <c r="W196" s="53"/>
      <c r="X196" s="53"/>
      <c r="Y196" s="53" t="s">
        <v>488</v>
      </c>
    </row>
    <row r="197" spans="1:25" x14ac:dyDescent="0.15">
      <c r="A197" s="49" t="s">
        <v>158</v>
      </c>
      <c r="B197" s="50">
        <v>27.037579210394799</v>
      </c>
      <c r="C197" s="51">
        <v>0.10257454312279576</v>
      </c>
      <c r="D197" s="51">
        <v>0.48416666666666663</v>
      </c>
      <c r="E197" s="51">
        <v>0.43629716025585957</v>
      </c>
      <c r="F197" s="51">
        <v>1.998960328317374E-2</v>
      </c>
      <c r="G197" s="51">
        <v>9.7846486486486469E-3</v>
      </c>
      <c r="H197" s="51">
        <v>3.2851540827213963E-2</v>
      </c>
      <c r="I197" s="51">
        <v>1.5056603773584913E-3</v>
      </c>
      <c r="J197" s="51">
        <v>4.6729760547320406E-3</v>
      </c>
      <c r="K197" s="51">
        <v>1.2266347305389221E-2</v>
      </c>
      <c r="L197" s="51">
        <v>4.0721479558728096E-2</v>
      </c>
      <c r="M197" s="51">
        <v>1.5321925601750549E-2</v>
      </c>
      <c r="N197" s="51">
        <v>7.8019199999999997E-2</v>
      </c>
      <c r="O197" s="51">
        <v>2.3559549806820096E-2</v>
      </c>
      <c r="P197" s="51">
        <v>2.162455661664393E-2</v>
      </c>
      <c r="Q197" s="52">
        <v>14.507517579184379</v>
      </c>
      <c r="R197" s="52">
        <v>5.0514849832296145</v>
      </c>
      <c r="S197" s="52">
        <v>54.633330237065486</v>
      </c>
      <c r="T197" s="52">
        <v>0.73133028007285605</v>
      </c>
      <c r="U197" s="52">
        <v>3.0642235139152398</v>
      </c>
      <c r="V197" s="52">
        <v>5.9268420067193581</v>
      </c>
      <c r="W197" s="53"/>
      <c r="X197" s="53"/>
      <c r="Y197" s="53" t="s">
        <v>488</v>
      </c>
    </row>
    <row r="198" spans="1:25" x14ac:dyDescent="0.15">
      <c r="A198" s="49" t="s">
        <v>159</v>
      </c>
      <c r="B198" s="50">
        <v>27.115231384307844</v>
      </c>
      <c r="C198" s="51">
        <v>5.3128441338415933E-2</v>
      </c>
      <c r="D198" s="51">
        <v>0.39400148478099478</v>
      </c>
      <c r="E198" s="51">
        <v>0.43123865118003801</v>
      </c>
      <c r="F198" s="51">
        <v>1.3879899497487441E-2</v>
      </c>
      <c r="G198" s="51">
        <v>9.5981999999999977E-3</v>
      </c>
      <c r="H198" s="51">
        <v>3.1162674094707531E-2</v>
      </c>
      <c r="I198" s="51">
        <v>1.5230769230769237E-3</v>
      </c>
      <c r="J198" s="51">
        <v>4.4266075388026604E-3</v>
      </c>
      <c r="K198" s="51">
        <v>1.0845277002789956E-2</v>
      </c>
      <c r="L198" s="51">
        <v>5.6966233203294324E-2</v>
      </c>
      <c r="M198" s="51">
        <v>1.7814555019728191E-2</v>
      </c>
      <c r="N198" s="51">
        <v>8.3377669310555225E-3</v>
      </c>
      <c r="O198" s="51">
        <v>1.2672341142760826E-2</v>
      </c>
      <c r="P198" s="51">
        <v>4.5797814207650268E-3</v>
      </c>
      <c r="Q198" s="52">
        <v>15.404709889218225</v>
      </c>
      <c r="R198" s="52">
        <v>5.4793222578362508</v>
      </c>
      <c r="S198" s="52">
        <v>57.303760752054167</v>
      </c>
      <c r="T198" s="52">
        <v>0.35001205872999058</v>
      </c>
      <c r="U198" s="52">
        <v>3.2136440745971622</v>
      </c>
      <c r="V198" s="52">
        <v>5.9567750724577024</v>
      </c>
      <c r="W198" s="53"/>
      <c r="X198" s="53"/>
      <c r="Y198" s="53" t="s">
        <v>488</v>
      </c>
    </row>
    <row r="199" spans="1:25" x14ac:dyDescent="0.15">
      <c r="A199" s="49" t="s">
        <v>160</v>
      </c>
      <c r="B199" s="50">
        <v>27.192883558220888</v>
      </c>
      <c r="C199" s="51">
        <v>4.9998941126641258E-2</v>
      </c>
      <c r="D199" s="51">
        <v>0.29553080920564212</v>
      </c>
      <c r="E199" s="51">
        <v>0.4443895261905047</v>
      </c>
      <c r="F199" s="51">
        <v>9.4301507537688459E-3</v>
      </c>
      <c r="G199" s="51">
        <v>9.0168000000000019E-3</v>
      </c>
      <c r="H199" s="51">
        <v>3.511335190343548E-2</v>
      </c>
      <c r="I199" s="51">
        <v>1.5692307692307698E-3</v>
      </c>
      <c r="J199" s="51">
        <v>4.3578713968957863E-3</v>
      </c>
      <c r="K199" s="51">
        <v>9.1897967317656429E-3</v>
      </c>
      <c r="L199" s="51">
        <v>3.9581100996965747E-2</v>
      </c>
      <c r="M199" s="51">
        <v>1.7656203419552829E-2</v>
      </c>
      <c r="N199" s="51">
        <v>6.9481391092129363E-3</v>
      </c>
      <c r="O199" s="51">
        <v>1.3256362717006569E-2</v>
      </c>
      <c r="P199" s="51">
        <v>3.4557377049180336E-3</v>
      </c>
      <c r="Q199" s="52">
        <v>15.469574774407576</v>
      </c>
      <c r="R199" s="52">
        <v>5.8337473877046486</v>
      </c>
      <c r="S199" s="52">
        <v>57.928680704317216</v>
      </c>
      <c r="T199" s="52">
        <v>0.56119474186367013</v>
      </c>
      <c r="U199" s="52">
        <v>3.49877407395519</v>
      </c>
      <c r="V199" s="52">
        <v>5.6791115063877866</v>
      </c>
      <c r="W199" s="53"/>
      <c r="X199" s="53"/>
      <c r="Y199" s="53" t="s">
        <v>488</v>
      </c>
    </row>
    <row r="200" spans="1:25" x14ac:dyDescent="0.15">
      <c r="A200" s="49" t="s">
        <v>161</v>
      </c>
      <c r="B200" s="50">
        <v>27.270535732133929</v>
      </c>
      <c r="C200" s="51">
        <v>5.0973104616687838E-2</v>
      </c>
      <c r="D200" s="51">
        <v>0.31109131403118045</v>
      </c>
      <c r="E200" s="51">
        <v>0.42373329824519435</v>
      </c>
      <c r="F200" s="51">
        <v>9.5617085427135689E-3</v>
      </c>
      <c r="G200" s="51">
        <v>8.2166666666666655E-3</v>
      </c>
      <c r="H200" s="51">
        <v>3.3841869390281658E-2</v>
      </c>
      <c r="I200" s="51">
        <v>1.5000000000000002E-3</v>
      </c>
      <c r="J200" s="51">
        <v>3.98669623059867E-3</v>
      </c>
      <c r="K200" s="51">
        <v>8.5407732164208862E-3</v>
      </c>
      <c r="L200" s="51">
        <v>1.2893498049414826E-2</v>
      </c>
      <c r="M200" s="51">
        <v>1.6875756247259979E-2</v>
      </c>
      <c r="N200" s="51">
        <v>7.2336790726052471E-3</v>
      </c>
      <c r="O200" s="51">
        <v>1.2264453059160626E-2</v>
      </c>
      <c r="P200" s="51">
        <v>3.2142076502732239E-3</v>
      </c>
      <c r="Q200" s="52">
        <v>15.121902214394675</v>
      </c>
      <c r="R200" s="52">
        <v>5.5554990897460819</v>
      </c>
      <c r="S200" s="52">
        <v>57.347542444633568</v>
      </c>
      <c r="T200" s="52">
        <v>1.4914923672214564</v>
      </c>
      <c r="U200" s="52">
        <v>3.5354712075495915</v>
      </c>
      <c r="V200" s="52">
        <v>5.5440574220752721</v>
      </c>
      <c r="W200" s="53">
        <v>-3.2631111111111113</v>
      </c>
      <c r="X200" s="53">
        <v>-6.5666272600000006</v>
      </c>
      <c r="Y200" s="53" t="s">
        <v>488</v>
      </c>
    </row>
    <row r="201" spans="1:25" x14ac:dyDescent="0.15">
      <c r="A201" s="49" t="s">
        <v>162</v>
      </c>
      <c r="B201" s="50">
        <v>27.348187906046974</v>
      </c>
      <c r="C201" s="51">
        <v>6.3332803896653966E-2</v>
      </c>
      <c r="D201" s="51">
        <v>0.29077951002227176</v>
      </c>
      <c r="E201" s="51">
        <v>0.26440411966650318</v>
      </c>
      <c r="F201" s="51">
        <v>4.8380653266331657E-3</v>
      </c>
      <c r="G201" s="51">
        <v>6.0894000000000018E-3</v>
      </c>
      <c r="H201" s="51">
        <v>4.1572937171154449E-2</v>
      </c>
      <c r="I201" s="51">
        <v>1.1423076923076931E-3</v>
      </c>
      <c r="J201" s="51">
        <v>3.4161862527716186E-3</v>
      </c>
      <c r="K201" s="51">
        <v>7.6660023913909898E-3</v>
      </c>
      <c r="L201" s="51">
        <v>9.5190723883831815E-3</v>
      </c>
      <c r="M201" s="51">
        <v>1.2193073213502853E-2</v>
      </c>
      <c r="N201" s="51">
        <v>1.2468578401464309E-2</v>
      </c>
      <c r="O201" s="51">
        <v>8.2875442440586561E-3</v>
      </c>
      <c r="P201" s="51">
        <v>2.4385245901639349E-4</v>
      </c>
      <c r="Q201" s="52">
        <v>12.393626898956326</v>
      </c>
      <c r="R201" s="52">
        <v>4.4868274506665253</v>
      </c>
      <c r="S201" s="52">
        <v>48.830838423986471</v>
      </c>
      <c r="T201" s="52">
        <v>10.956204945404432</v>
      </c>
      <c r="U201" s="52">
        <v>2.9780681453424913</v>
      </c>
      <c r="V201" s="52">
        <v>4.1454525441285721</v>
      </c>
      <c r="W201" s="53">
        <v>-3.0371428571428578</v>
      </c>
      <c r="X201" s="53">
        <v>-5.6792529639999962</v>
      </c>
      <c r="Y201" s="53" t="s">
        <v>488</v>
      </c>
    </row>
    <row r="202" spans="1:25" x14ac:dyDescent="0.15">
      <c r="A202" s="49" t="s">
        <v>163</v>
      </c>
      <c r="B202" s="50">
        <v>27.425840079960018</v>
      </c>
      <c r="C202" s="51">
        <v>6.1579309614570109E-2</v>
      </c>
      <c r="D202" s="51">
        <v>0.23317000742390503</v>
      </c>
      <c r="E202" s="51">
        <v>0.31353006614911672</v>
      </c>
      <c r="F202" s="51">
        <v>5.9414213926776748E-3</v>
      </c>
      <c r="G202" s="51">
        <v>6.1098000000000012E-3</v>
      </c>
      <c r="H202" s="51">
        <v>4.4842463633549989E-2</v>
      </c>
      <c r="I202" s="51">
        <v>1.2000000000000008E-3</v>
      </c>
      <c r="J202" s="51">
        <v>3.5261640798226164E-3</v>
      </c>
      <c r="K202" s="51">
        <v>7.1768832204065361E-3</v>
      </c>
      <c r="L202" s="51">
        <v>1.0123276983094927E-2</v>
      </c>
      <c r="M202" s="51">
        <v>1.2962209557211751E-2</v>
      </c>
      <c r="N202" s="51">
        <v>1.2440024405125078E-2</v>
      </c>
      <c r="O202" s="51">
        <v>9.2794539019046031E-3</v>
      </c>
      <c r="P202" s="51">
        <v>6.0382513661202182E-4</v>
      </c>
      <c r="Q202" s="52">
        <v>13.217613486176058</v>
      </c>
      <c r="R202" s="52">
        <v>4.7526764260115391</v>
      </c>
      <c r="S202" s="52">
        <v>52.03600174951351</v>
      </c>
      <c r="T202" s="52">
        <v>9.477854738683348</v>
      </c>
      <c r="U202" s="52">
        <v>3.202557296013353</v>
      </c>
      <c r="V202" s="52">
        <v>4.5403494292321049</v>
      </c>
      <c r="W202" s="53">
        <v>-3.0746666666666669</v>
      </c>
      <c r="X202" s="53">
        <v>-5.235759820000002</v>
      </c>
      <c r="Y202" s="53" t="s">
        <v>488</v>
      </c>
    </row>
    <row r="203" spans="1:25" x14ac:dyDescent="0.15">
      <c r="A203" s="49" t="s">
        <v>164</v>
      </c>
      <c r="B203" s="50">
        <v>27.503492253873063</v>
      </c>
      <c r="C203" s="51">
        <v>6.6255294366793727E-2</v>
      </c>
      <c r="D203" s="51">
        <v>0.19302152932442471</v>
      </c>
      <c r="E203" s="51">
        <v>0.25227670187442436</v>
      </c>
      <c r="F203" s="51">
        <v>5.1075376884422118E-3</v>
      </c>
      <c r="G203" s="51">
        <v>4.5754285714285714E-3</v>
      </c>
      <c r="H203" s="51">
        <v>4.6159356236459302E-2</v>
      </c>
      <c r="I203" s="51">
        <v>1.0384615384615389E-3</v>
      </c>
      <c r="J203" s="51">
        <v>3.1137472283813746E-3</v>
      </c>
      <c r="K203" s="51">
        <v>7.6754085292945404E-3</v>
      </c>
      <c r="L203" s="51">
        <v>9.3366710013003916E-3</v>
      </c>
      <c r="M203" s="51">
        <v>1.0994125383603682E-2</v>
      </c>
      <c r="N203" s="51">
        <v>1.3115802318486884E-2</v>
      </c>
      <c r="O203" s="51">
        <v>7.1009607281307925E-3</v>
      </c>
      <c r="P203" s="51">
        <v>9.2896174863387997E-6</v>
      </c>
      <c r="Q203" s="52">
        <v>12.735575790367779</v>
      </c>
      <c r="R203" s="52">
        <v>4.2140423531683568</v>
      </c>
      <c r="S203" s="52">
        <v>50.66694614448393</v>
      </c>
      <c r="T203" s="52">
        <v>15.987377027456802</v>
      </c>
      <c r="U203" s="52">
        <v>2.8986180747255568</v>
      </c>
      <c r="V203" s="52">
        <v>4.0965646783087273</v>
      </c>
      <c r="W203" s="53">
        <v>-3.225222222222222</v>
      </c>
      <c r="X203" s="53">
        <v>-5.2906198400000015</v>
      </c>
      <c r="Y203" s="53" t="s">
        <v>488</v>
      </c>
    </row>
    <row r="204" spans="1:25" x14ac:dyDescent="0.15">
      <c r="A204" s="49" t="s">
        <v>165</v>
      </c>
      <c r="B204" s="50">
        <v>27.581144427786104</v>
      </c>
      <c r="C204" s="51">
        <v>6.017894959762813E-2</v>
      </c>
      <c r="D204" s="51">
        <v>0.20929472902746851</v>
      </c>
      <c r="E204" s="51">
        <v>0.31666646730224046</v>
      </c>
      <c r="F204" s="51">
        <v>6.9150753768844244E-3</v>
      </c>
      <c r="G204" s="51">
        <v>6.5134285714285711E-3</v>
      </c>
      <c r="H204" s="51">
        <v>4.7283255957907777E-2</v>
      </c>
      <c r="I204" s="51">
        <v>1.3153846153846158E-3</v>
      </c>
      <c r="J204" s="51">
        <v>3.5399113082039903E-3</v>
      </c>
      <c r="K204" s="51">
        <v>7.4120366679952185E-3</v>
      </c>
      <c r="L204" s="51">
        <v>9.1884698742956215E-3</v>
      </c>
      <c r="M204" s="51">
        <v>1.3097939500219202E-2</v>
      </c>
      <c r="N204" s="51">
        <v>1.0917144600366078E-2</v>
      </c>
      <c r="O204" s="51">
        <v>9.3258048204955292E-3</v>
      </c>
      <c r="P204" s="51">
        <v>1.4166666666666666E-3</v>
      </c>
      <c r="Q204" s="52">
        <v>13.608737558529572</v>
      </c>
      <c r="R204" s="52">
        <v>5.2155889336499204</v>
      </c>
      <c r="S204" s="52">
        <v>53.145407746290552</v>
      </c>
      <c r="T204" s="52">
        <v>8.3126409943814288</v>
      </c>
      <c r="U204" s="52">
        <v>3.3515404121461128</v>
      </c>
      <c r="V204" s="52">
        <v>4.6338867671832</v>
      </c>
      <c r="W204" s="53">
        <v>-3.4121111111111118</v>
      </c>
      <c r="X204" s="53">
        <v>-5.0100685000000027</v>
      </c>
      <c r="Y204" s="53" t="s">
        <v>488</v>
      </c>
    </row>
    <row r="205" spans="1:25" x14ac:dyDescent="0.15">
      <c r="A205" s="49" t="s">
        <v>166</v>
      </c>
      <c r="B205" s="50">
        <v>27.658796601699148</v>
      </c>
      <c r="C205" s="51">
        <v>5.7418485965409695E-2</v>
      </c>
      <c r="D205" s="51">
        <v>0.22655804480651728</v>
      </c>
      <c r="E205" s="51">
        <v>0.35518576070066393</v>
      </c>
      <c r="F205" s="51">
        <v>6.5741755170486294E-3</v>
      </c>
      <c r="G205" s="51">
        <v>7.2267206477732784E-3</v>
      </c>
      <c r="H205" s="51">
        <v>3.9654890708076616E-2</v>
      </c>
      <c r="I205" s="51">
        <v>1.4399999999999997E-3</v>
      </c>
      <c r="J205" s="51">
        <v>3.6075745983167569E-3</v>
      </c>
      <c r="K205" s="51">
        <v>7.5725048116579612E-3</v>
      </c>
      <c r="L205" s="51">
        <v>9.6522392330805548E-3</v>
      </c>
      <c r="M205" s="51">
        <v>1.3625957572186207E-2</v>
      </c>
      <c r="N205" s="51">
        <v>1.1006666666666665E-2</v>
      </c>
      <c r="O205" s="51">
        <v>1.0731471724622407E-2</v>
      </c>
      <c r="P205" s="51">
        <v>5.5479837449202876E-4</v>
      </c>
      <c r="Q205" s="52">
        <v>13.96844949406521</v>
      </c>
      <c r="R205" s="52">
        <v>5.5079264518666484</v>
      </c>
      <c r="S205" s="52">
        <v>54.402865128451474</v>
      </c>
      <c r="T205" s="52">
        <v>7.7280980502437187</v>
      </c>
      <c r="U205" s="52">
        <v>3.299862223863816</v>
      </c>
      <c r="V205" s="52">
        <v>4.8234798460431065</v>
      </c>
      <c r="W205" s="53">
        <v>-3.1479999999999997</v>
      </c>
      <c r="X205" s="53">
        <v>-5.3715626200000024</v>
      </c>
      <c r="Y205" s="53" t="s">
        <v>488</v>
      </c>
    </row>
    <row r="206" spans="1:25" x14ac:dyDescent="0.15">
      <c r="A206" s="49" t="s">
        <v>167</v>
      </c>
      <c r="B206" s="50">
        <v>27.736448775612192</v>
      </c>
      <c r="C206" s="51">
        <v>5.3811489934788778E-2</v>
      </c>
      <c r="D206" s="51">
        <v>0.26761710794297344</v>
      </c>
      <c r="E206" s="51">
        <v>0.3928785222239764</v>
      </c>
      <c r="F206" s="51">
        <v>8.2675237562884283E-3</v>
      </c>
      <c r="G206" s="51">
        <v>8.2900809716599175E-3</v>
      </c>
      <c r="H206" s="51">
        <v>4.1489045489070786E-2</v>
      </c>
      <c r="I206" s="51">
        <v>1.5599999999999993E-3</v>
      </c>
      <c r="J206" s="51">
        <v>3.9989288446824816E-3</v>
      </c>
      <c r="K206" s="51">
        <v>8.0299697552928262E-3</v>
      </c>
      <c r="L206" s="51">
        <v>1.0826312777221346E-2</v>
      </c>
      <c r="M206" s="51">
        <v>1.6385356511490864E-2</v>
      </c>
      <c r="N206" s="51">
        <v>8.1081481481481473E-3</v>
      </c>
      <c r="O206" s="51">
        <v>1.1156480505795574E-2</v>
      </c>
      <c r="P206" s="51">
        <v>2.0884651453579243E-3</v>
      </c>
      <c r="Q206" s="52">
        <v>14.261150121494182</v>
      </c>
      <c r="R206" s="52">
        <v>5.8363025916764144</v>
      </c>
      <c r="S206" s="52">
        <v>53.921161183720102</v>
      </c>
      <c r="T206" s="52">
        <v>2.5370425571803521</v>
      </c>
      <c r="U206" s="52">
        <v>3.4285938577861304</v>
      </c>
      <c r="V206" s="52">
        <v>5.0521276831361552</v>
      </c>
      <c r="W206" s="53">
        <v>-4.9318000000000008</v>
      </c>
      <c r="X206" s="53">
        <v>-6.9602613759999983</v>
      </c>
      <c r="Y206" s="53" t="s">
        <v>488</v>
      </c>
    </row>
    <row r="207" spans="1:25" x14ac:dyDescent="0.15">
      <c r="A207" s="49" t="s">
        <v>168</v>
      </c>
      <c r="B207" s="50">
        <v>27.814100949525237</v>
      </c>
      <c r="C207" s="51">
        <v>5.659926991777714E-2</v>
      </c>
      <c r="D207" s="51">
        <v>0.2291242362525458</v>
      </c>
      <c r="E207" s="51">
        <v>0.36629749964684277</v>
      </c>
      <c r="F207" s="51">
        <v>7.806833426495248E-3</v>
      </c>
      <c r="G207" s="51">
        <v>7.0890688259109304E-3</v>
      </c>
      <c r="H207" s="51">
        <v>4.2580251498016683E-2</v>
      </c>
      <c r="I207" s="51">
        <v>1.4999999999999996E-3</v>
      </c>
      <c r="J207" s="51">
        <v>3.7356541698546301E-3</v>
      </c>
      <c r="K207" s="51">
        <v>7.3778388781963172E-3</v>
      </c>
      <c r="L207" s="51">
        <v>1.0295721848619257E-2</v>
      </c>
      <c r="M207" s="51">
        <v>1.4846022392457275E-2</v>
      </c>
      <c r="N207" s="51">
        <v>1.0679259259259258E-2</v>
      </c>
      <c r="O207" s="51">
        <v>1.1108184053389531E-2</v>
      </c>
      <c r="P207" s="51">
        <v>1.0795337828785781E-3</v>
      </c>
      <c r="Q207" s="52">
        <v>14.101545725547489</v>
      </c>
      <c r="R207" s="52">
        <v>5.7513756119523487</v>
      </c>
      <c r="S207" s="52">
        <v>54.307140994289696</v>
      </c>
      <c r="T207" s="52">
        <v>5.0051031121109864</v>
      </c>
      <c r="U207" s="52">
        <v>3.349261201609969</v>
      </c>
      <c r="V207" s="52">
        <v>5.0293478412103019</v>
      </c>
      <c r="W207" s="53">
        <v>-5.019222222222222</v>
      </c>
      <c r="X207" s="53">
        <v>-6.0928263800000018</v>
      </c>
      <c r="Y207" s="53" t="s">
        <v>488</v>
      </c>
    </row>
    <row r="208" spans="1:25" x14ac:dyDescent="0.15">
      <c r="A208" s="49" t="s">
        <v>169</v>
      </c>
      <c r="B208" s="50">
        <v>27.891753123438278</v>
      </c>
      <c r="C208" s="51">
        <v>6.0194038843209514E-2</v>
      </c>
      <c r="D208" s="51">
        <v>0.2385336048879837</v>
      </c>
      <c r="E208" s="51">
        <v>0.34309930781183784</v>
      </c>
      <c r="F208" s="51">
        <v>6.8445420426415391E-3</v>
      </c>
      <c r="G208" s="51">
        <v>7.0202429149797563E-3</v>
      </c>
      <c r="H208" s="51">
        <v>4.3833977550848148E-2</v>
      </c>
      <c r="I208" s="51">
        <v>1.4519999999999993E-3</v>
      </c>
      <c r="J208" s="51">
        <v>3.8495026778882957E-3</v>
      </c>
      <c r="K208" s="51">
        <v>7.7963706351388516E-3</v>
      </c>
      <c r="L208" s="51">
        <v>1.0205408499069965E-2</v>
      </c>
      <c r="M208" s="51">
        <v>1.4629375368296992E-2</v>
      </c>
      <c r="N208" s="51">
        <v>1.183481481481481E-2</v>
      </c>
      <c r="O208" s="51">
        <v>1.0209870038637162E-2</v>
      </c>
      <c r="P208" s="51">
        <v>1.3072835261019071E-3</v>
      </c>
      <c r="Q208" s="52">
        <v>13.537623657666991</v>
      </c>
      <c r="R208" s="52">
        <v>5.5801443845286025</v>
      </c>
      <c r="S208" s="52">
        <v>53.131568746946144</v>
      </c>
      <c r="T208" s="52">
        <v>5.9025496812898384</v>
      </c>
      <c r="U208" s="52">
        <v>3.3218290033296576</v>
      </c>
      <c r="V208" s="52">
        <v>4.8586148564711156</v>
      </c>
      <c r="W208" s="53">
        <v>-4.7754444444444442</v>
      </c>
      <c r="X208" s="53">
        <v>-6.1006943200000023</v>
      </c>
      <c r="Y208" s="53" t="s">
        <v>488</v>
      </c>
    </row>
    <row r="209" spans="1:25" x14ac:dyDescent="0.15">
      <c r="A209" s="49" t="s">
        <v>170</v>
      </c>
      <c r="B209" s="50">
        <v>27.969405297351322</v>
      </c>
      <c r="C209" s="51">
        <v>5.866565069464133E-2</v>
      </c>
      <c r="D209" s="51">
        <v>0.2487983706720977</v>
      </c>
      <c r="E209" s="51">
        <v>0.34711283581097363</v>
      </c>
      <c r="F209" s="51">
        <v>6.2130939072107321E-3</v>
      </c>
      <c r="G209" s="51">
        <v>7.800269905533062E-3</v>
      </c>
      <c r="H209" s="51">
        <v>4.3915237572790936E-2</v>
      </c>
      <c r="I209" s="51">
        <v>1.4399999999999997E-3</v>
      </c>
      <c r="J209" s="51">
        <v>3.7925784238714631E-3</v>
      </c>
      <c r="K209" s="51">
        <v>7.6698377783887845E-3</v>
      </c>
      <c r="L209" s="51">
        <v>1.0465059379024179E-2</v>
      </c>
      <c r="M209" s="51">
        <v>1.4241691219799646E-2</v>
      </c>
      <c r="N209" s="51">
        <v>1.1603703703703703E-2</v>
      </c>
      <c r="O209" s="51">
        <v>1.0518967334035826E-2</v>
      </c>
      <c r="P209" s="51">
        <v>1.1159737417943108E-3</v>
      </c>
      <c r="Q209" s="52">
        <v>13.762614859292576</v>
      </c>
      <c r="R209" s="52">
        <v>5.5261445708312218</v>
      </c>
      <c r="S209" s="52">
        <v>53.535345960726453</v>
      </c>
      <c r="T209" s="52">
        <v>6.0565166854143238</v>
      </c>
      <c r="U209" s="52">
        <v>3.3465179817819375</v>
      </c>
      <c r="V209" s="52">
        <v>4.8856969445718264</v>
      </c>
      <c r="W209" s="53">
        <v>-4.4065555555555553</v>
      </c>
      <c r="X209" s="53">
        <v>-6.5912010999999993</v>
      </c>
      <c r="Y209" s="53" t="s">
        <v>488</v>
      </c>
    </row>
    <row r="210" spans="1:25" x14ac:dyDescent="0.15">
      <c r="A210" s="49" t="s">
        <v>171</v>
      </c>
      <c r="B210" s="50">
        <v>28.047057471264367</v>
      </c>
      <c r="C210" s="51">
        <v>5.8518925432378778E-2</v>
      </c>
      <c r="D210" s="51">
        <v>0.22606924643584517</v>
      </c>
      <c r="E210" s="51">
        <v>0.33279027446548615</v>
      </c>
      <c r="F210" s="51">
        <v>6.5409726103968693E-3</v>
      </c>
      <c r="G210" s="51">
        <v>6.6485829959514161E-3</v>
      </c>
      <c r="H210" s="51">
        <v>4.1291699721495476E-2</v>
      </c>
      <c r="I210" s="51">
        <v>1.4039999999999994E-3</v>
      </c>
      <c r="J210" s="51">
        <v>3.6929609793420054E-3</v>
      </c>
      <c r="K210" s="51">
        <v>7.5141050316194693E-3</v>
      </c>
      <c r="L210" s="51">
        <v>1.0205408499069965E-2</v>
      </c>
      <c r="M210" s="51">
        <v>1.378559222156747E-2</v>
      </c>
      <c r="N210" s="51">
        <v>1.1950370370370368E-2</v>
      </c>
      <c r="O210" s="51">
        <v>1.0625219529329115E-2</v>
      </c>
      <c r="P210" s="51">
        <v>1.377430447014692E-3</v>
      </c>
      <c r="Q210" s="52">
        <v>13.555507832625652</v>
      </c>
      <c r="R210" s="52">
        <v>5.2953908214910417</v>
      </c>
      <c r="S210" s="52">
        <v>53.52846620005252</v>
      </c>
      <c r="T210" s="52">
        <v>7.1981636670416185</v>
      </c>
      <c r="U210" s="52">
        <v>3.195672422502621</v>
      </c>
      <c r="V210" s="52">
        <v>4.7801043794801767</v>
      </c>
      <c r="W210" s="53">
        <v>-4.4629999999999992</v>
      </c>
      <c r="X210" s="53">
        <v>-5.9604725400000014</v>
      </c>
      <c r="Y210" s="53" t="s">
        <v>488</v>
      </c>
    </row>
    <row r="211" spans="1:25" x14ac:dyDescent="0.15">
      <c r="A211" s="49" t="s">
        <v>172</v>
      </c>
      <c r="B211" s="50">
        <v>28.124709645177411</v>
      </c>
      <c r="C211" s="51">
        <v>5.7516302806918058E-2</v>
      </c>
      <c r="D211" s="51">
        <v>0.22386965376782067</v>
      </c>
      <c r="E211" s="51">
        <v>0.34765179528514328</v>
      </c>
      <c r="F211" s="51">
        <v>7.0864489339615101E-3</v>
      </c>
      <c r="G211" s="51">
        <v>7.2414690572585308E-3</v>
      </c>
      <c r="H211" s="51">
        <v>4.242934002869439E-2</v>
      </c>
      <c r="I211" s="51">
        <v>1.4399999999999997E-3</v>
      </c>
      <c r="J211" s="51">
        <v>3.6716143840856931E-3</v>
      </c>
      <c r="K211" s="51">
        <v>7.1929062414077555E-3</v>
      </c>
      <c r="L211" s="51">
        <v>9.3700100157390175E-3</v>
      </c>
      <c r="M211" s="51">
        <v>1.4595167943429582E-2</v>
      </c>
      <c r="N211" s="51">
        <v>1.1873333333333331E-2</v>
      </c>
      <c r="O211" s="51">
        <v>1.0509308043554615E-2</v>
      </c>
      <c r="P211" s="51">
        <v>4.3044701469209127E-4</v>
      </c>
      <c r="Q211" s="52">
        <v>13.988494715574491</v>
      </c>
      <c r="R211" s="52">
        <v>5.4712038512891104</v>
      </c>
      <c r="S211" s="52">
        <v>54.343416096025003</v>
      </c>
      <c r="T211" s="52">
        <v>5.6348603299587543</v>
      </c>
      <c r="U211" s="52">
        <v>3.2697919099634443</v>
      </c>
      <c r="V211" s="52">
        <v>4.8728674258503908</v>
      </c>
      <c r="W211" s="53">
        <v>-4.6254444444444438</v>
      </c>
      <c r="X211" s="53">
        <v>-6.215601272500006</v>
      </c>
      <c r="Y211" s="53" t="s">
        <v>488</v>
      </c>
    </row>
    <row r="212" spans="1:25" x14ac:dyDescent="0.15">
      <c r="A212" s="49" t="s">
        <v>173</v>
      </c>
      <c r="B212" s="50">
        <v>28.202361819090452</v>
      </c>
      <c r="C212" s="51">
        <v>5.7371274660696796E-2</v>
      </c>
      <c r="D212" s="51">
        <v>0.24560121765601212</v>
      </c>
      <c r="E212" s="51">
        <v>0.36897265434194082</v>
      </c>
      <c r="F212" s="51">
        <v>7.2058257664299203E-3</v>
      </c>
      <c r="G212" s="51">
        <v>7.243238227789375E-3</v>
      </c>
      <c r="H212" s="51">
        <v>4.3343841309823675E-2</v>
      </c>
      <c r="I212" s="51">
        <v>1.5487804878048779E-3</v>
      </c>
      <c r="J212" s="51">
        <v>3.8644796380090506E-3</v>
      </c>
      <c r="K212" s="51">
        <v>7.5390667390124767E-3</v>
      </c>
      <c r="L212" s="51">
        <v>1.0083103006126233E-2</v>
      </c>
      <c r="M212" s="51">
        <v>1.5431882770870339E-2</v>
      </c>
      <c r="N212" s="51">
        <v>1.0908415841584161E-2</v>
      </c>
      <c r="O212" s="51">
        <v>1.1107817818992841E-2</v>
      </c>
      <c r="P212" s="51">
        <v>1.2059228650137745E-3</v>
      </c>
      <c r="Q212" s="52">
        <v>14.093020620732631</v>
      </c>
      <c r="R212" s="52">
        <v>5.9031062801932359</v>
      </c>
      <c r="S212" s="52">
        <v>54.522044322002749</v>
      </c>
      <c r="T212" s="52">
        <v>4.6088720092335516</v>
      </c>
      <c r="U212" s="52">
        <v>3.3720661024154182</v>
      </c>
      <c r="V212" s="52">
        <v>5.0390963237389581</v>
      </c>
      <c r="W212" s="53">
        <v>-5.1913333333333336</v>
      </c>
      <c r="X212" s="53">
        <v>-6.2829502999999995</v>
      </c>
      <c r="Y212" s="53" t="s">
        <v>488</v>
      </c>
    </row>
    <row r="213" spans="1:25" x14ac:dyDescent="0.15">
      <c r="A213" s="49" t="s">
        <v>174</v>
      </c>
      <c r="B213" s="50">
        <v>28.280013993003497</v>
      </c>
      <c r="C213" s="51">
        <v>5.6055862599692204E-2</v>
      </c>
      <c r="D213" s="51">
        <v>0.24182648401826476</v>
      </c>
      <c r="E213" s="51">
        <v>0.36639058839113486</v>
      </c>
      <c r="F213" s="51">
        <v>7.1994965387035884E-3</v>
      </c>
      <c r="G213" s="51">
        <v>6.677912317327765E-3</v>
      </c>
      <c r="H213" s="51">
        <v>4.6046335012594468E-2</v>
      </c>
      <c r="I213" s="51">
        <v>1.5731707317073172E-3</v>
      </c>
      <c r="J213" s="51">
        <v>4.0257918552036214E-3</v>
      </c>
      <c r="K213" s="51">
        <v>7.5390667390124785E-3</v>
      </c>
      <c r="L213" s="51">
        <v>1.0105584841145465E-2</v>
      </c>
      <c r="M213" s="51">
        <v>1.4755950266429839E-2</v>
      </c>
      <c r="N213" s="51">
        <v>1.2182673267326735E-2</v>
      </c>
      <c r="O213" s="51">
        <v>1.1524239934264588E-2</v>
      </c>
      <c r="P213" s="51">
        <v>8.9917355371900833E-4</v>
      </c>
      <c r="Q213" s="52">
        <v>14.109350829161693</v>
      </c>
      <c r="R213" s="52">
        <v>5.9728993558776162</v>
      </c>
      <c r="S213" s="52">
        <v>55.034769926212213</v>
      </c>
      <c r="T213" s="52">
        <v>5.1163125058489562</v>
      </c>
      <c r="U213" s="52">
        <v>3.3908900854551804</v>
      </c>
      <c r="V213" s="52">
        <v>5.0100446280991742</v>
      </c>
      <c r="W213" s="53">
        <v>-4.9122857142857148</v>
      </c>
      <c r="X213" s="53">
        <v>-7.0114507171428571</v>
      </c>
      <c r="Y213" s="53" t="s">
        <v>488</v>
      </c>
    </row>
    <row r="214" spans="1:25" x14ac:dyDescent="0.15">
      <c r="A214" s="49" t="s">
        <v>175</v>
      </c>
      <c r="B214" s="50">
        <v>28.357666166916541</v>
      </c>
      <c r="C214" s="51">
        <v>5.612827060305025E-2</v>
      </c>
      <c r="D214" s="51">
        <v>0.2298934550989345</v>
      </c>
      <c r="E214" s="51">
        <v>0.37750718206429501</v>
      </c>
      <c r="F214" s="51">
        <v>7.4621594893463988E-3</v>
      </c>
      <c r="G214" s="51">
        <v>6.5984133611691042E-3</v>
      </c>
      <c r="H214" s="51">
        <v>4.2512304785894205E-2</v>
      </c>
      <c r="I214" s="51">
        <v>1.4756097560975606E-3</v>
      </c>
      <c r="J214" s="51">
        <v>3.6821266968325803E-3</v>
      </c>
      <c r="K214" s="51">
        <v>7.3181768855127482E-3</v>
      </c>
      <c r="L214" s="51">
        <v>1.0083103006126229E-2</v>
      </c>
      <c r="M214" s="51">
        <v>1.5145470692717586E-2</v>
      </c>
      <c r="N214" s="51">
        <v>1.2317821782178218E-2</v>
      </c>
      <c r="O214" s="51">
        <v>1.2066557107641741E-2</v>
      </c>
      <c r="P214" s="51">
        <v>1.5173553719008263E-3</v>
      </c>
      <c r="Q214" s="52">
        <v>14.564323224101384</v>
      </c>
      <c r="R214" s="52">
        <v>5.7410587761674732</v>
      </c>
      <c r="S214" s="52">
        <v>56.391308371854251</v>
      </c>
      <c r="T214" s="52">
        <v>4.5866057335371364</v>
      </c>
      <c r="U214" s="52">
        <v>3.4868976717823519</v>
      </c>
      <c r="V214" s="52">
        <v>5.1478630379025363</v>
      </c>
      <c r="W214" s="53">
        <v>-5.0114285714285725</v>
      </c>
      <c r="X214" s="53">
        <v>-7.420608617500001</v>
      </c>
      <c r="Y214" s="53" t="s">
        <v>488</v>
      </c>
    </row>
    <row r="215" spans="1:25" x14ac:dyDescent="0.15">
      <c r="A215" s="49" t="s">
        <v>176</v>
      </c>
      <c r="B215" s="50">
        <v>28.435318340829582</v>
      </c>
      <c r="C215" s="51">
        <v>5.4704246537008554E-2</v>
      </c>
      <c r="D215" s="51">
        <v>0.21942161339421609</v>
      </c>
      <c r="E215" s="51">
        <v>0.36820717461316205</v>
      </c>
      <c r="F215" s="51">
        <v>6.7686343612334806E-3</v>
      </c>
      <c r="G215" s="51">
        <v>6.6282254697286012E-3</v>
      </c>
      <c r="H215" s="51">
        <v>4.1611473551637287E-2</v>
      </c>
      <c r="I215" s="51">
        <v>1.4390243902439026E-3</v>
      </c>
      <c r="J215" s="51">
        <v>3.7312217194570142E-3</v>
      </c>
      <c r="K215" s="51">
        <v>7.2797612588171448E-3</v>
      </c>
      <c r="L215" s="51">
        <v>1.0083103006126231E-2</v>
      </c>
      <c r="M215" s="51">
        <v>1.4618472468916517E-2</v>
      </c>
      <c r="N215" s="51">
        <v>1.2124752475247528E-2</v>
      </c>
      <c r="O215" s="51">
        <v>1.0991606996126304E-2</v>
      </c>
      <c r="P215" s="51">
        <v>1.252754820936639E-3</v>
      </c>
      <c r="Q215" s="52">
        <v>14.294291200817602</v>
      </c>
      <c r="R215" s="52">
        <v>5.2746400966183575</v>
      </c>
      <c r="S215" s="52">
        <v>55.705419386432744</v>
      </c>
      <c r="T215" s="52">
        <v>5.3628783105094042</v>
      </c>
      <c r="U215" s="52">
        <v>3.3746919689571002</v>
      </c>
      <c r="V215" s="52">
        <v>5.0005563265887725</v>
      </c>
      <c r="W215" s="53">
        <v>-5.0141111111111112</v>
      </c>
      <c r="X215" s="53">
        <v>-6.1984507800000017</v>
      </c>
      <c r="Y215" s="53" t="s">
        <v>488</v>
      </c>
    </row>
    <row r="216" spans="1:25" x14ac:dyDescent="0.15">
      <c r="A216" s="49" t="s">
        <v>177</v>
      </c>
      <c r="B216" s="50">
        <v>28.512970514742626</v>
      </c>
      <c r="C216" s="51">
        <v>5.5271442563313296E-2</v>
      </c>
      <c r="D216" s="51">
        <v>0.22343987823439868</v>
      </c>
      <c r="E216" s="51">
        <v>0.37694735360593434</v>
      </c>
      <c r="F216" s="51">
        <v>6.3086577362222425E-3</v>
      </c>
      <c r="G216" s="51">
        <v>7.5524008350730679E-3</v>
      </c>
      <c r="H216" s="51">
        <v>4.2015692695214102E-2</v>
      </c>
      <c r="I216" s="51">
        <v>1.5853658536585363E-3</v>
      </c>
      <c r="J216" s="51">
        <v>3.9065610859728515E-3</v>
      </c>
      <c r="K216" s="51">
        <v>7.3469886055344521E-3</v>
      </c>
      <c r="L216" s="51">
        <v>9.9482119960108296E-3</v>
      </c>
      <c r="M216" s="51">
        <v>1.4893428063943163E-2</v>
      </c>
      <c r="N216" s="51">
        <v>1.128490099009901E-2</v>
      </c>
      <c r="O216" s="51">
        <v>1.1001291231365184E-2</v>
      </c>
      <c r="P216" s="51">
        <v>1.2363636363636364E-3</v>
      </c>
      <c r="Q216" s="52">
        <v>14.348051992644038</v>
      </c>
      <c r="R216" s="52">
        <v>5.8592375201288247</v>
      </c>
      <c r="S216" s="52">
        <v>55.748886793939391</v>
      </c>
      <c r="T216" s="52">
        <v>5.370815110584271</v>
      </c>
      <c r="U216" s="52">
        <v>3.4038612334321598</v>
      </c>
      <c r="V216" s="52">
        <v>5.1467890994585357</v>
      </c>
      <c r="W216" s="53">
        <v>-4.8767777777777779</v>
      </c>
      <c r="X216" s="53">
        <v>-6.8480716342857164</v>
      </c>
      <c r="Y216" s="53" t="s">
        <v>488</v>
      </c>
    </row>
    <row r="217" spans="1:25" x14ac:dyDescent="0.15">
      <c r="A217" s="49" t="s">
        <v>178</v>
      </c>
      <c r="B217" s="50">
        <v>28.590622688655671</v>
      </c>
      <c r="C217" s="51">
        <v>5.2604414439625033E-2</v>
      </c>
      <c r="D217" s="51">
        <v>0.23573820395738193</v>
      </c>
      <c r="E217" s="51">
        <v>0.40349921763103652</v>
      </c>
      <c r="F217" s="51">
        <v>8.8121837633731905E-3</v>
      </c>
      <c r="G217" s="51">
        <v>7.8207098121085596E-3</v>
      </c>
      <c r="H217" s="51">
        <v>3.658760705289673E-2</v>
      </c>
      <c r="I217" s="51">
        <v>1.5487804878048777E-3</v>
      </c>
      <c r="J217" s="51">
        <v>3.8574660633484176E-3</v>
      </c>
      <c r="K217" s="51">
        <v>8.1249050461204529E-3</v>
      </c>
      <c r="L217" s="51">
        <v>1.0476535118962817E-2</v>
      </c>
      <c r="M217" s="51">
        <v>1.5787033747779754E-2</v>
      </c>
      <c r="N217" s="51">
        <v>1.0078217821782179E-2</v>
      </c>
      <c r="O217" s="51">
        <v>1.1524239934264583E-2</v>
      </c>
      <c r="P217" s="51">
        <v>1.3112947658402204E-3</v>
      </c>
      <c r="Q217" s="52">
        <v>14.834050768669901</v>
      </c>
      <c r="R217" s="52">
        <v>5.7357206119162631</v>
      </c>
      <c r="S217" s="52">
        <v>56.381420888450862</v>
      </c>
      <c r="T217" s="52">
        <v>3.6420956421374426</v>
      </c>
      <c r="U217" s="52">
        <v>3.5011764802057908</v>
      </c>
      <c r="V217" s="52">
        <v>5.2784295953263047</v>
      </c>
      <c r="W217" s="53">
        <v>-5.0646666666666667</v>
      </c>
      <c r="X217" s="53">
        <v>-6.8847938199999952</v>
      </c>
      <c r="Y217" s="53" t="s">
        <v>488</v>
      </c>
    </row>
    <row r="218" spans="1:25" x14ac:dyDescent="0.15">
      <c r="A218" s="49" t="s">
        <v>179</v>
      </c>
      <c r="B218" s="50">
        <v>28.668274862568715</v>
      </c>
      <c r="C218" s="51">
        <v>5.4752518539247251E-2</v>
      </c>
      <c r="D218" s="51">
        <v>0.23878234398782339</v>
      </c>
      <c r="E218" s="51">
        <v>0.40966875574358175</v>
      </c>
      <c r="F218" s="51">
        <v>7.9890676975636066E-3</v>
      </c>
      <c r="G218" s="51">
        <v>6.7474739039665972E-3</v>
      </c>
      <c r="H218" s="51">
        <v>3.7084219143576826E-2</v>
      </c>
      <c r="I218" s="51">
        <v>1.4878048780487803E-3</v>
      </c>
      <c r="J218" s="51">
        <v>3.7242081447963816E-3</v>
      </c>
      <c r="K218" s="51">
        <v>7.5582745523602819E-3</v>
      </c>
      <c r="L218" s="51">
        <v>9.3861661205299918E-3</v>
      </c>
      <c r="M218" s="51">
        <v>1.5741207815275313E-2</v>
      </c>
      <c r="N218" s="51">
        <v>1.0512623762376237E-2</v>
      </c>
      <c r="O218" s="51">
        <v>1.1524239934264583E-2</v>
      </c>
      <c r="P218" s="51">
        <v>1.3915781188508461E-3</v>
      </c>
      <c r="Q218" s="52">
        <v>14.757484521069626</v>
      </c>
      <c r="R218" s="52">
        <v>5.5947109500805139</v>
      </c>
      <c r="S218" s="52">
        <v>57.264408468814274</v>
      </c>
      <c r="T218" s="52">
        <v>4.0404900645724808</v>
      </c>
      <c r="U218" s="52">
        <v>3.4172647530083728</v>
      </c>
      <c r="V218" s="52">
        <v>5.217181889427188</v>
      </c>
      <c r="W218" s="53">
        <v>-5.0754000000000001</v>
      </c>
      <c r="X218" s="53">
        <v>-7.432661116000002</v>
      </c>
      <c r="Y218" s="53" t="s">
        <v>488</v>
      </c>
    </row>
    <row r="219" spans="1:25" x14ac:dyDescent="0.15">
      <c r="A219" s="49" t="s">
        <v>180</v>
      </c>
      <c r="B219" s="50">
        <v>28.74592703648176</v>
      </c>
      <c r="C219" s="51">
        <v>5.4157692033378516E-2</v>
      </c>
      <c r="D219" s="51">
        <v>0.22577599196383724</v>
      </c>
      <c r="E219" s="51">
        <v>0.40517919454821644</v>
      </c>
      <c r="F219" s="51">
        <v>7.4870898015327184E-3</v>
      </c>
      <c r="G219" s="51">
        <v>7.6597452229299375E-3</v>
      </c>
      <c r="H219" s="51">
        <v>3.5570188552471356E-2</v>
      </c>
      <c r="I219" s="51">
        <v>1.4922879177377893E-3</v>
      </c>
      <c r="J219" s="51">
        <v>3.6932677760968232E-3</v>
      </c>
      <c r="K219" s="51">
        <v>7.3238120662039528E-3</v>
      </c>
      <c r="L219" s="51">
        <v>9.8764182895850969E-3</v>
      </c>
      <c r="M219" s="51">
        <v>1.5940005913660561E-2</v>
      </c>
      <c r="N219" s="51">
        <v>1.0099754299754297E-2</v>
      </c>
      <c r="O219" s="51">
        <v>1.2080219523587107E-2</v>
      </c>
      <c r="P219" s="51">
        <v>1.419759825327511E-3</v>
      </c>
      <c r="Q219" s="52">
        <v>14.749774123261906</v>
      </c>
      <c r="R219" s="52">
        <v>5.6713460121809112</v>
      </c>
      <c r="S219" s="52">
        <v>57.268547865322049</v>
      </c>
      <c r="T219" s="52">
        <v>4.0213541020505801</v>
      </c>
      <c r="U219" s="52">
        <v>3.4110908840271819</v>
      </c>
      <c r="V219" s="52">
        <v>5.2476390047595736</v>
      </c>
      <c r="W219" s="53">
        <v>-5.1589999999999998</v>
      </c>
      <c r="X219" s="53">
        <v>-8.2744013600000024</v>
      </c>
      <c r="Y219" s="53" t="s">
        <v>488</v>
      </c>
    </row>
    <row r="220" spans="1:25" x14ac:dyDescent="0.15">
      <c r="A220" s="49" t="s">
        <v>181</v>
      </c>
      <c r="B220" s="50">
        <v>28.823579210394801</v>
      </c>
      <c r="C220" s="51">
        <v>6.1170387276228526E-2</v>
      </c>
      <c r="D220" s="51">
        <v>0.20359618282270212</v>
      </c>
      <c r="E220" s="51">
        <v>0.33093033375754349</v>
      </c>
      <c r="F220" s="51">
        <v>7.0993122420907849E-3</v>
      </c>
      <c r="G220" s="51">
        <v>4.9538216560509555E-3</v>
      </c>
      <c r="H220" s="51">
        <v>4.2143568638978723E-2</v>
      </c>
      <c r="I220" s="51">
        <v>1.3881748071979433E-3</v>
      </c>
      <c r="J220" s="51">
        <v>3.4611195158850225E-3</v>
      </c>
      <c r="K220" s="51">
        <v>7.380512546716499E-3</v>
      </c>
      <c r="L220" s="51">
        <v>9.4755715495342917E-3</v>
      </c>
      <c r="M220" s="51">
        <v>1.3285245416913069E-2</v>
      </c>
      <c r="N220" s="51">
        <v>1.3568550368550366E-2</v>
      </c>
      <c r="O220" s="51">
        <v>1.0731550677253617E-2</v>
      </c>
      <c r="P220" s="51">
        <v>6.044915782907049E-4</v>
      </c>
      <c r="Q220" s="52">
        <v>13.627768228469728</v>
      </c>
      <c r="R220" s="52">
        <v>5.4214505614572683</v>
      </c>
      <c r="S220" s="52">
        <v>54.727593395798543</v>
      </c>
      <c r="T220" s="52">
        <v>9.5505663027488747</v>
      </c>
      <c r="U220" s="52">
        <v>3.1692773389987199</v>
      </c>
      <c r="V220" s="52">
        <v>4.642590546460295</v>
      </c>
      <c r="W220" s="53">
        <v>-4.1481111111111106</v>
      </c>
      <c r="X220" s="53">
        <v>-5.9883875599999961</v>
      </c>
      <c r="Y220" s="53" t="s">
        <v>488</v>
      </c>
    </row>
    <row r="221" spans="1:25" x14ac:dyDescent="0.15">
      <c r="A221" s="49" t="s">
        <v>182</v>
      </c>
      <c r="B221" s="50">
        <v>28.901231384307845</v>
      </c>
      <c r="C221" s="51">
        <v>5.8820519221168266E-2</v>
      </c>
      <c r="D221" s="51">
        <v>0.19081868407835259</v>
      </c>
      <c r="E221" s="51">
        <v>0.31279018022086302</v>
      </c>
      <c r="F221" s="51">
        <v>5.7551409903713897E-3</v>
      </c>
      <c r="G221" s="51">
        <v>5.8888989990900815E-3</v>
      </c>
      <c r="H221" s="51">
        <v>4.1161605005669184E-2</v>
      </c>
      <c r="I221" s="51">
        <v>1.2724935732647815E-3</v>
      </c>
      <c r="J221" s="51">
        <v>3.3415279878971256E-3</v>
      </c>
      <c r="K221" s="51">
        <v>6.9080085424452764E-3</v>
      </c>
      <c r="L221" s="51">
        <v>9.0635901778154098E-3</v>
      </c>
      <c r="M221" s="51">
        <v>1.2827528089887642E-2</v>
      </c>
      <c r="N221" s="51">
        <v>1.3482309582309582E-2</v>
      </c>
      <c r="O221" s="51">
        <v>1.041365016347501E-2</v>
      </c>
      <c r="P221" s="51">
        <v>1.6703056768558951E-4</v>
      </c>
      <c r="Q221" s="52">
        <v>13.759240454196471</v>
      </c>
      <c r="R221" s="52">
        <v>4.9791368282679107</v>
      </c>
      <c r="S221" s="52">
        <v>55.196696729003143</v>
      </c>
      <c r="T221" s="52">
        <v>10.054864239760377</v>
      </c>
      <c r="U221" s="52">
        <v>3.0787737792121446</v>
      </c>
      <c r="V221" s="52">
        <v>4.5722634140547438</v>
      </c>
      <c r="W221" s="53">
        <v>-4.1058888888888889</v>
      </c>
      <c r="X221" s="53">
        <v>-5.7525649200000011</v>
      </c>
      <c r="Y221" s="53" t="s">
        <v>488</v>
      </c>
    </row>
    <row r="222" spans="1:25" x14ac:dyDescent="0.15">
      <c r="A222" s="49" t="s">
        <v>183</v>
      </c>
      <c r="B222" s="50">
        <v>28.97888355822089</v>
      </c>
      <c r="C222" s="51">
        <v>6.4307645674345632E-2</v>
      </c>
      <c r="D222" s="51">
        <v>0.17635359116022095</v>
      </c>
      <c r="E222" s="51">
        <v>0.26904306416519569</v>
      </c>
      <c r="F222" s="51">
        <v>6.0030949105914725E-3</v>
      </c>
      <c r="G222" s="51">
        <v>5.0796974522292994E-3</v>
      </c>
      <c r="H222" s="51">
        <v>4.2189778692310935E-2</v>
      </c>
      <c r="I222" s="51">
        <v>1.15681233933162E-3</v>
      </c>
      <c r="J222" s="51">
        <v>3.2430408472012098E-3</v>
      </c>
      <c r="K222" s="51">
        <v>7.5789642285104125E-3</v>
      </c>
      <c r="L222" s="51">
        <v>9.2306096528365807E-3</v>
      </c>
      <c r="M222" s="51">
        <v>1.1168302779420464E-2</v>
      </c>
      <c r="N222" s="51">
        <v>1.3214004914004913E-2</v>
      </c>
      <c r="O222" s="51">
        <v>9.0649813171415194E-3</v>
      </c>
      <c r="P222" s="51">
        <v>0</v>
      </c>
      <c r="Q222" s="52">
        <v>12.952560191366294</v>
      </c>
      <c r="R222" s="52">
        <v>4.5089279772600186</v>
      </c>
      <c r="S222" s="52">
        <v>52.887411621235827</v>
      </c>
      <c r="T222" s="52">
        <v>16.010801889300456</v>
      </c>
      <c r="U222" s="52">
        <v>2.9225369358265363</v>
      </c>
      <c r="V222" s="52">
        <v>4.1805914966784767</v>
      </c>
      <c r="W222" s="53">
        <v>-3.3654000000000002</v>
      </c>
      <c r="X222" s="53">
        <v>-5.055890397142857</v>
      </c>
      <c r="Y222" s="53" t="s">
        <v>488</v>
      </c>
    </row>
    <row r="223" spans="1:25" x14ac:dyDescent="0.15">
      <c r="A223" s="49" t="s">
        <v>184</v>
      </c>
      <c r="B223" s="50">
        <v>29.056535732133931</v>
      </c>
      <c r="C223" s="51">
        <v>6.2978924470437209E-2</v>
      </c>
      <c r="D223" s="51">
        <v>0.21336012054244097</v>
      </c>
      <c r="E223" s="51">
        <v>0.30930038178907188</v>
      </c>
      <c r="F223" s="51">
        <v>7.1142267636077824E-3</v>
      </c>
      <c r="G223" s="51">
        <v>5.6197452229299364E-3</v>
      </c>
      <c r="H223" s="51">
        <v>4.1173157519002239E-2</v>
      </c>
      <c r="I223" s="51">
        <v>1.15681233933162E-3</v>
      </c>
      <c r="J223" s="51">
        <v>3.2430408472012106E-3</v>
      </c>
      <c r="K223" s="51">
        <v>7.2482114255205572E-3</v>
      </c>
      <c r="L223" s="51">
        <v>9.096994072819645E-3</v>
      </c>
      <c r="M223" s="51">
        <v>1.2278267297457127E-2</v>
      </c>
      <c r="N223" s="51">
        <v>1.299361179361179E-2</v>
      </c>
      <c r="O223" s="51">
        <v>1.0615950490425035E-2</v>
      </c>
      <c r="P223" s="51">
        <v>3.0542732376793508E-4</v>
      </c>
      <c r="Q223" s="52">
        <v>13.493129941014455</v>
      </c>
      <c r="R223" s="52">
        <v>4.6767845207660228</v>
      </c>
      <c r="S223" s="52">
        <v>54.160732803174632</v>
      </c>
      <c r="T223" s="52">
        <v>12.617079736986685</v>
      </c>
      <c r="U223" s="52">
        <v>3.0501122265289253</v>
      </c>
      <c r="V223" s="52">
        <v>4.4413215668419088</v>
      </c>
      <c r="W223" s="53">
        <v>-3.5783333333333331</v>
      </c>
      <c r="X223" s="53">
        <v>-5.73941576</v>
      </c>
      <c r="Y223" s="53" t="s">
        <v>488</v>
      </c>
    </row>
    <row r="224" spans="1:25" x14ac:dyDescent="0.15">
      <c r="A224" s="49" t="s">
        <v>185</v>
      </c>
      <c r="B224" s="50">
        <v>29.134187906046975</v>
      </c>
      <c r="C224" s="51">
        <v>5.8611368661293781E-2</v>
      </c>
      <c r="D224" s="51">
        <v>0.17141135107985933</v>
      </c>
      <c r="E224" s="51">
        <v>0.32572962765302366</v>
      </c>
      <c r="F224" s="51">
        <v>5.9508940852819811E-3</v>
      </c>
      <c r="G224" s="51">
        <v>6.2787079162875351E-3</v>
      </c>
      <c r="H224" s="51">
        <v>3.954425313904171E-2</v>
      </c>
      <c r="I224" s="51">
        <v>1.3303341902313624E-3</v>
      </c>
      <c r="J224" s="51">
        <v>3.4329803328290473E-3</v>
      </c>
      <c r="K224" s="51">
        <v>7.7018152696209322E-3</v>
      </c>
      <c r="L224" s="51">
        <v>9.5089754445385286E-3</v>
      </c>
      <c r="M224" s="51">
        <v>1.2850413956238914E-2</v>
      </c>
      <c r="N224" s="51">
        <v>1.3079852579852579E-2</v>
      </c>
      <c r="O224" s="51">
        <v>9.8163825315273241E-3</v>
      </c>
      <c r="P224" s="51">
        <v>2.2270742358078603E-4</v>
      </c>
      <c r="Q224" s="52">
        <v>13.859999864556727</v>
      </c>
      <c r="R224" s="52">
        <v>5.2662122739552961</v>
      </c>
      <c r="S224" s="52">
        <v>55.07686737087635</v>
      </c>
      <c r="T224" s="52">
        <v>10.784356778264177</v>
      </c>
      <c r="U224" s="52">
        <v>3.0965041922771288</v>
      </c>
      <c r="V224" s="52">
        <v>4.6231107767750821</v>
      </c>
      <c r="W224" s="53">
        <v>-3.7010000000000001</v>
      </c>
      <c r="X224" s="53">
        <v>-5.0939213399999979</v>
      </c>
      <c r="Y224" s="53" t="s">
        <v>488</v>
      </c>
    </row>
    <row r="225" spans="1:25" x14ac:dyDescent="0.15">
      <c r="A225" s="49" t="s">
        <v>186</v>
      </c>
      <c r="B225" s="50">
        <v>29.21184007996002</v>
      </c>
      <c r="C225" s="51">
        <v>5.8795913272947725E-2</v>
      </c>
      <c r="D225" s="51">
        <v>0.21733802109492711</v>
      </c>
      <c r="E225" s="51">
        <v>0.30685299068106253</v>
      </c>
      <c r="F225" s="51">
        <v>5.7594910591471796E-3</v>
      </c>
      <c r="G225" s="51">
        <v>5.1371246587807104E-3</v>
      </c>
      <c r="H225" s="51">
        <v>4.1623705538991307E-2</v>
      </c>
      <c r="I225" s="51">
        <v>1.3071979434447303E-3</v>
      </c>
      <c r="J225" s="51">
        <v>3.4329803328290468E-3</v>
      </c>
      <c r="K225" s="51">
        <v>6.945808862786975E-3</v>
      </c>
      <c r="L225" s="51">
        <v>9.6314563928873841E-3</v>
      </c>
      <c r="M225" s="51">
        <v>1.2632998225901835E-2</v>
      </c>
      <c r="N225" s="51">
        <v>1.2744471744471743E-2</v>
      </c>
      <c r="O225" s="51">
        <v>9.6429822512844477E-3</v>
      </c>
      <c r="P225" s="51">
        <v>1.9089207735495946E-5</v>
      </c>
      <c r="Q225" s="52">
        <v>13.727640334906063</v>
      </c>
      <c r="R225" s="52">
        <v>5.2716914311078469</v>
      </c>
      <c r="S225" s="52">
        <v>54.466257116862067</v>
      </c>
      <c r="T225" s="52">
        <v>10.9438414742215</v>
      </c>
      <c r="U225" s="52">
        <v>3.0677066541249749</v>
      </c>
      <c r="V225" s="52">
        <v>4.5169004363650753</v>
      </c>
      <c r="W225" s="53">
        <v>-3.8002500000000001</v>
      </c>
      <c r="X225" s="53">
        <v>-6.1757092</v>
      </c>
      <c r="Y225" s="53" t="s">
        <v>488</v>
      </c>
    </row>
    <row r="226" spans="1:25" x14ac:dyDescent="0.15">
      <c r="A226" s="49" t="s">
        <v>187</v>
      </c>
      <c r="B226" s="50">
        <v>29.289492253873064</v>
      </c>
      <c r="C226" s="51">
        <v>6.2324443312472715E-2</v>
      </c>
      <c r="D226" s="51">
        <v>0.18871578947368423</v>
      </c>
      <c r="E226" s="51">
        <v>0.32814705737178956</v>
      </c>
      <c r="F226" s="51">
        <v>6.4984615384615389E-3</v>
      </c>
      <c r="G226" s="51">
        <v>6.1747720364741642E-3</v>
      </c>
      <c r="H226" s="51">
        <v>4.0851072299987169E-2</v>
      </c>
      <c r="I226" s="51">
        <v>1.224E-3</v>
      </c>
      <c r="J226" s="51">
        <v>3.0250549450549454E-3</v>
      </c>
      <c r="K226" s="51">
        <v>6.7406250000000001E-3</v>
      </c>
      <c r="L226" s="51">
        <v>9.0225733314439581E-3</v>
      </c>
      <c r="M226" s="51">
        <v>1.2423645026801669E-2</v>
      </c>
      <c r="N226" s="51">
        <v>1.3843773584905657E-2</v>
      </c>
      <c r="O226" s="51">
        <v>1.0497154037709001E-2</v>
      </c>
      <c r="P226" s="51">
        <v>1.9233186675047143E-4</v>
      </c>
      <c r="Q226" s="52">
        <v>13.871623391761355</v>
      </c>
      <c r="R226" s="52">
        <v>5.0364721254355391</v>
      </c>
      <c r="S226" s="52">
        <v>56.007111010547781</v>
      </c>
      <c r="T226" s="52">
        <v>13.529848216339069</v>
      </c>
      <c r="U226" s="52">
        <v>3.1314988504220662</v>
      </c>
      <c r="V226" s="52">
        <v>4.6984795792070289</v>
      </c>
      <c r="W226" s="53">
        <v>-3.5904444444444445</v>
      </c>
      <c r="X226" s="53">
        <v>-5.9204861599999994</v>
      </c>
      <c r="Y226" s="53" t="s">
        <v>488</v>
      </c>
    </row>
    <row r="227" spans="1:25" x14ac:dyDescent="0.15">
      <c r="A227" s="49" t="s">
        <v>188</v>
      </c>
      <c r="B227" s="50">
        <v>29.367144427786105</v>
      </c>
      <c r="C227" s="51">
        <v>6.2776342599330515E-2</v>
      </c>
      <c r="D227" s="51">
        <v>0.20412631578947371</v>
      </c>
      <c r="E227" s="51">
        <v>0.31673768900442595</v>
      </c>
      <c r="F227" s="51">
        <v>6.2663736263736261E-3</v>
      </c>
      <c r="G227" s="51">
        <v>6.9550151975683906E-3</v>
      </c>
      <c r="H227" s="51">
        <v>4.0733311930140001E-2</v>
      </c>
      <c r="I227" s="51">
        <v>1.32E-3</v>
      </c>
      <c r="J227" s="51">
        <v>3.2430769230769227E-3</v>
      </c>
      <c r="K227" s="51">
        <v>7.4250000000000002E-3</v>
      </c>
      <c r="L227" s="51">
        <v>9.0561144962448634E-3</v>
      </c>
      <c r="M227" s="51">
        <v>1.2216200119118524E-2</v>
      </c>
      <c r="N227" s="51">
        <v>1.4942641509433956E-2</v>
      </c>
      <c r="O227" s="51">
        <v>1.028192813945215E-2</v>
      </c>
      <c r="P227" s="51">
        <v>1.9233186675047143E-4</v>
      </c>
      <c r="Q227" s="52">
        <v>13.750993058651021</v>
      </c>
      <c r="R227" s="52">
        <v>5.1894887848432054</v>
      </c>
      <c r="S227" s="52">
        <v>55.000150293873695</v>
      </c>
      <c r="T227" s="52">
        <v>12.669484855453796</v>
      </c>
      <c r="U227" s="52">
        <v>3.1019253977871668</v>
      </c>
      <c r="V227" s="52">
        <v>4.6478696055932431</v>
      </c>
      <c r="W227" s="53">
        <v>-3.1845555555555554</v>
      </c>
      <c r="X227" s="53">
        <v>-5.6827234799999999</v>
      </c>
      <c r="Y227" s="53" t="s">
        <v>488</v>
      </c>
    </row>
    <row r="228" spans="1:25" x14ac:dyDescent="0.15">
      <c r="A228" s="49" t="s">
        <v>189</v>
      </c>
      <c r="B228" s="50">
        <v>29.444796601699149</v>
      </c>
      <c r="C228" s="51">
        <v>6.0767901324406924E-2</v>
      </c>
      <c r="D228" s="51">
        <v>0.19174736842105261</v>
      </c>
      <c r="E228" s="51">
        <v>0.35263462709159421</v>
      </c>
      <c r="F228" s="51">
        <v>6.6253846153846154E-3</v>
      </c>
      <c r="G228" s="51">
        <v>6.6346504559270511E-3</v>
      </c>
      <c r="H228" s="51">
        <v>4.0438911005522035E-2</v>
      </c>
      <c r="I228" s="51">
        <v>1.3679999999999999E-3</v>
      </c>
      <c r="J228" s="51">
        <v>3.2703296703296704E-3</v>
      </c>
      <c r="K228" s="51">
        <v>7.3218750000000003E-3</v>
      </c>
      <c r="L228" s="51">
        <v>9.3803457559869623E-3</v>
      </c>
      <c r="M228" s="51">
        <v>1.3138177486599168E-2</v>
      </c>
      <c r="N228" s="51">
        <v>1.4344150943396224E-2</v>
      </c>
      <c r="O228" s="51">
        <v>1.0751511917467094E-2</v>
      </c>
      <c r="P228" s="51">
        <v>3.8466373350094291E-4</v>
      </c>
      <c r="Q228" s="52">
        <v>14.057346279988248</v>
      </c>
      <c r="R228" s="52">
        <v>5.3793921493902426</v>
      </c>
      <c r="S228" s="52">
        <v>56.12832836586071</v>
      </c>
      <c r="T228" s="52">
        <v>10.623210454404028</v>
      </c>
      <c r="U228" s="52">
        <v>3.2381110400982753</v>
      </c>
      <c r="V228" s="52">
        <v>4.8538106778238825</v>
      </c>
      <c r="W228" s="53">
        <v>-3.585</v>
      </c>
      <c r="X228" s="53">
        <v>-5.8880289828571435</v>
      </c>
      <c r="Y228" s="53" t="s">
        <v>488</v>
      </c>
    </row>
    <row r="229" spans="1:25" x14ac:dyDescent="0.15">
      <c r="A229" s="49" t="s">
        <v>190</v>
      </c>
      <c r="B229" s="50">
        <v>29.522448775612194</v>
      </c>
      <c r="C229" s="51">
        <v>5.9801338960849951E-2</v>
      </c>
      <c r="D229" s="51">
        <v>0.1989473684210526</v>
      </c>
      <c r="E229" s="51">
        <v>0.33174583326477891</v>
      </c>
      <c r="F229" s="51">
        <v>6.4114285714285731E-3</v>
      </c>
      <c r="G229" s="51">
        <v>6.8501953973078584E-3</v>
      </c>
      <c r="H229" s="51">
        <v>3.9084666752279444E-2</v>
      </c>
      <c r="I229" s="51">
        <v>1.32E-3</v>
      </c>
      <c r="J229" s="51">
        <v>3.372527472527473E-3</v>
      </c>
      <c r="K229" s="51">
        <v>7.0687500000000004E-3</v>
      </c>
      <c r="L229" s="51">
        <v>9.4921496386566554E-3</v>
      </c>
      <c r="M229" s="51">
        <v>1.3011405598570579E-2</v>
      </c>
      <c r="N229" s="51">
        <v>1.4383396226415091E-2</v>
      </c>
      <c r="O229" s="51">
        <v>1.0829775880469584E-2</v>
      </c>
      <c r="P229" s="51">
        <v>4.2313010685103716E-4</v>
      </c>
      <c r="Q229" s="52">
        <v>14.023533154983976</v>
      </c>
      <c r="R229" s="52">
        <v>5.1516441637630654</v>
      </c>
      <c r="S229" s="52">
        <v>55.618898927129152</v>
      </c>
      <c r="T229" s="52">
        <v>10.380547070521231</v>
      </c>
      <c r="U229" s="52">
        <v>3.2386571103677824</v>
      </c>
      <c r="V229" s="52">
        <v>4.7888930065698352</v>
      </c>
      <c r="W229" s="53">
        <v>-3.5476000000000001</v>
      </c>
      <c r="X229" s="53">
        <v>-5.3528550914285766</v>
      </c>
      <c r="Y229" s="53" t="s">
        <v>488</v>
      </c>
    </row>
    <row r="230" spans="1:25" x14ac:dyDescent="0.15">
      <c r="A230" s="49" t="s">
        <v>191</v>
      </c>
      <c r="B230" s="50">
        <v>29.600100949525235</v>
      </c>
      <c r="C230" s="51">
        <v>5.9763680686945125E-2</v>
      </c>
      <c r="D230" s="51">
        <v>0.2288842105263158</v>
      </c>
      <c r="E230" s="51">
        <v>0.36965218249724419</v>
      </c>
      <c r="F230" s="51">
        <v>6.0753846153846162E-3</v>
      </c>
      <c r="G230" s="51">
        <v>7.2340425531914896E-3</v>
      </c>
      <c r="H230" s="51">
        <v>4.0250494413766547E-2</v>
      </c>
      <c r="I230" s="51">
        <v>1.4399999999999999E-3</v>
      </c>
      <c r="J230" s="51">
        <v>3.5701098901098904E-3</v>
      </c>
      <c r="K230" s="51">
        <v>7.5937499999999998E-3</v>
      </c>
      <c r="L230" s="51">
        <v>9.5592319682584661E-3</v>
      </c>
      <c r="M230" s="51">
        <v>1.3080553901131628E-2</v>
      </c>
      <c r="N230" s="51">
        <v>1.3902641509433954E-2</v>
      </c>
      <c r="O230" s="51">
        <v>1.1406972607612949E-2</v>
      </c>
      <c r="P230" s="51">
        <v>6.1546197360150864E-4</v>
      </c>
      <c r="Q230" s="52">
        <v>13.933307160577453</v>
      </c>
      <c r="R230" s="52">
        <v>5.6994332534843206</v>
      </c>
      <c r="S230" s="52">
        <v>55.440902441725335</v>
      </c>
      <c r="T230" s="52">
        <v>8.7142675288483655</v>
      </c>
      <c r="U230" s="52">
        <v>3.1582134645871904</v>
      </c>
      <c r="V230" s="52">
        <v>5.0168735440282957</v>
      </c>
      <c r="W230" s="53">
        <v>-3.7803333333333331</v>
      </c>
      <c r="X230" s="53">
        <v>-5.5294603199999983</v>
      </c>
      <c r="Y230" s="53" t="s">
        <v>488</v>
      </c>
    </row>
    <row r="231" spans="1:25" x14ac:dyDescent="0.15">
      <c r="A231" s="49" t="s">
        <v>192</v>
      </c>
      <c r="B231" s="50">
        <v>29.677753123438279</v>
      </c>
      <c r="C231" s="51">
        <v>5.9148595546499795E-2</v>
      </c>
      <c r="D231" s="51">
        <v>0.23595789473684214</v>
      </c>
      <c r="E231" s="51">
        <v>0.37042415966040909</v>
      </c>
      <c r="F231" s="51">
        <v>7.2317948717948704E-3</v>
      </c>
      <c r="G231" s="51">
        <v>6.8206686930091182E-3</v>
      </c>
      <c r="H231" s="51">
        <v>3.7812854757929906E-2</v>
      </c>
      <c r="I231" s="51">
        <v>1.4519999999999995E-3</v>
      </c>
      <c r="J231" s="51">
        <v>3.3657142857142861E-3</v>
      </c>
      <c r="K231" s="51">
        <v>7.3218750000000003E-3</v>
      </c>
      <c r="L231" s="51">
        <v>9.6263142978602837E-3</v>
      </c>
      <c r="M231" s="51">
        <v>1.3795086360929127E-2</v>
      </c>
      <c r="N231" s="51">
        <v>1.2126792452830184E-2</v>
      </c>
      <c r="O231" s="51">
        <v>1.1778726431874777E-2</v>
      </c>
      <c r="P231" s="51">
        <v>5.000628535512258E-4</v>
      </c>
      <c r="Q231" s="52">
        <v>14.292776395312901</v>
      </c>
      <c r="R231" s="52">
        <v>5.621911476480836</v>
      </c>
      <c r="S231" s="52">
        <v>56.253242452060647</v>
      </c>
      <c r="T231" s="52">
        <v>6.8153244680131504</v>
      </c>
      <c r="U231" s="52">
        <v>3.297075921944904</v>
      </c>
      <c r="V231" s="52">
        <v>5.0044623176830969</v>
      </c>
      <c r="W231" s="53">
        <v>-3.8806000000000003</v>
      </c>
      <c r="X231" s="53">
        <v>-5.6815532971428588</v>
      </c>
      <c r="Y231" s="53" t="s">
        <v>488</v>
      </c>
    </row>
    <row r="232" spans="1:25" x14ac:dyDescent="0.15">
      <c r="A232" s="49" t="s">
        <v>193</v>
      </c>
      <c r="B232" s="50">
        <v>29.755405297351324</v>
      </c>
      <c r="C232" s="51">
        <v>6.71070440983845E-2</v>
      </c>
      <c r="D232" s="51">
        <v>0.24593684210526323</v>
      </c>
      <c r="E232" s="51">
        <v>0.29545155399068762</v>
      </c>
      <c r="F232" s="51">
        <v>4.9923076923076926E-3</v>
      </c>
      <c r="G232" s="51">
        <v>4.6917933130699091E-3</v>
      </c>
      <c r="H232" s="51">
        <v>4.1380993964299471E-2</v>
      </c>
      <c r="I232" s="51">
        <v>9.7200000000000021E-4</v>
      </c>
      <c r="J232" s="51">
        <v>2.9364835164835163E-3</v>
      </c>
      <c r="K232" s="51">
        <v>7.1156250000000013E-3</v>
      </c>
      <c r="L232" s="51">
        <v>8.1728638231543162E-3</v>
      </c>
      <c r="M232" s="51">
        <v>1.0084127456819537E-2</v>
      </c>
      <c r="N232" s="51">
        <v>1.5217358490566033E-2</v>
      </c>
      <c r="O232" s="51">
        <v>9.646033440056918E-3</v>
      </c>
      <c r="P232" s="51">
        <v>0</v>
      </c>
      <c r="Q232" s="52">
        <v>12.543855338065185</v>
      </c>
      <c r="R232" s="52">
        <v>3.969839666811847</v>
      </c>
      <c r="S232" s="52">
        <v>52.532859128209211</v>
      </c>
      <c r="T232" s="52">
        <v>18.156587708499618</v>
      </c>
      <c r="U232" s="52">
        <v>2.7061957685571767</v>
      </c>
      <c r="V232" s="52">
        <v>4.1291566520846841</v>
      </c>
      <c r="W232" s="53">
        <v>-2.6022222222222222</v>
      </c>
      <c r="X232" s="53">
        <v>-4.3211926299999988</v>
      </c>
      <c r="Y232" s="53" t="s">
        <v>488</v>
      </c>
    </row>
    <row r="233" spans="1:25" x14ac:dyDescent="0.15">
      <c r="A233" s="49" t="s">
        <v>194</v>
      </c>
      <c r="B233" s="50">
        <v>29.833057471264365</v>
      </c>
      <c r="C233" s="51">
        <v>6.5838268216942303E-2</v>
      </c>
      <c r="D233" s="51">
        <v>0.3893944954128441</v>
      </c>
      <c r="E233" s="51">
        <v>0.3574628891127522</v>
      </c>
      <c r="F233" s="51">
        <v>5.9167400881057278E-3</v>
      </c>
      <c r="G233" s="51">
        <v>5.9399583043780405E-3</v>
      </c>
      <c r="H233" s="51">
        <v>4.7175054266865288E-2</v>
      </c>
      <c r="I233" s="51">
        <v>1.2197368421052633E-3</v>
      </c>
      <c r="J233" s="51">
        <v>3.3805429864253397E-3</v>
      </c>
      <c r="K233" s="51">
        <v>7.3322520606221766E-3</v>
      </c>
      <c r="L233" s="51">
        <v>2.3513762376237618E-2</v>
      </c>
      <c r="M233" s="51">
        <v>1.175915745443681E-2</v>
      </c>
      <c r="N233" s="51">
        <v>1.5336750000000001E-2</v>
      </c>
      <c r="O233" s="51">
        <v>1.1976581614819988E-2</v>
      </c>
      <c r="P233" s="51">
        <v>0</v>
      </c>
      <c r="Q233" s="52">
        <v>13.082645948884974</v>
      </c>
      <c r="R233" s="52">
        <v>4.8124638359684608</v>
      </c>
      <c r="S233" s="52">
        <v>53.472676600967375</v>
      </c>
      <c r="T233" s="52">
        <v>11.472860824281037</v>
      </c>
      <c r="U233" s="52">
        <v>2.9975322970581644</v>
      </c>
      <c r="V233" s="52">
        <v>4.5470694544920036</v>
      </c>
      <c r="W233" s="53">
        <v>-3.4483333333333337</v>
      </c>
      <c r="X233" s="53">
        <v>-5.0204153799999958</v>
      </c>
      <c r="Y233" s="53" t="s">
        <v>488</v>
      </c>
    </row>
    <row r="234" spans="1:25" x14ac:dyDescent="0.15">
      <c r="A234" s="49" t="s">
        <v>195</v>
      </c>
      <c r="B234" s="50">
        <v>29.886404255319146</v>
      </c>
      <c r="C234" s="51">
        <v>7.1250000000000008E-2</v>
      </c>
      <c r="D234" s="51">
        <v>7.6069999999999999E-2</v>
      </c>
      <c r="E234" s="51">
        <v>6.6010000000000013E-2</v>
      </c>
      <c r="F234" s="51">
        <v>9.999999999999998E-4</v>
      </c>
      <c r="G234" s="51">
        <v>2.3500000000000001E-3</v>
      </c>
      <c r="H234" s="51">
        <v>4.0150000000000005E-2</v>
      </c>
      <c r="I234" s="51">
        <v>3.2499999999999999E-4</v>
      </c>
      <c r="J234" s="51">
        <v>4.6699999999999997E-3</v>
      </c>
      <c r="K234" s="51">
        <v>1.082E-2</v>
      </c>
      <c r="L234" s="51">
        <v>7.92E-3</v>
      </c>
      <c r="M234" s="51">
        <v>2.7399999999999998E-3</v>
      </c>
      <c r="N234" s="51">
        <v>2.0400000000000001E-2</v>
      </c>
      <c r="O234" s="51">
        <v>3.4750000000000002E-3</v>
      </c>
      <c r="P234" s="51">
        <v>0</v>
      </c>
      <c r="Q234" s="52">
        <v>5.4270100000000001</v>
      </c>
      <c r="R234" s="52">
        <v>1.30121</v>
      </c>
      <c r="S234" s="52">
        <v>21.66892</v>
      </c>
      <c r="T234" s="52">
        <v>69.540509999999983</v>
      </c>
      <c r="U234" s="52">
        <v>1.5244500000000001</v>
      </c>
      <c r="V234" s="52">
        <v>1.2665200000000001</v>
      </c>
      <c r="W234" s="53">
        <v>4.0111111111111118E-2</v>
      </c>
      <c r="X234" s="53">
        <v>-3.7184868699999996</v>
      </c>
      <c r="Y234" s="53" t="s">
        <v>488</v>
      </c>
    </row>
    <row r="235" spans="1:25" x14ac:dyDescent="0.15">
      <c r="A235" s="49" t="s">
        <v>196</v>
      </c>
      <c r="B235" s="50">
        <v>29.98458944050433</v>
      </c>
      <c r="C235" s="51">
        <v>6.7610000000000003E-2</v>
      </c>
      <c r="D235" s="51">
        <v>2.273E-2</v>
      </c>
      <c r="E235" s="51">
        <v>5.0220000000000001E-2</v>
      </c>
      <c r="F235" s="51">
        <v>1.89E-3</v>
      </c>
      <c r="G235" s="51">
        <v>2.2399999999999998E-3</v>
      </c>
      <c r="H235" s="51">
        <v>3.4759999999999999E-2</v>
      </c>
      <c r="I235" s="51">
        <v>2.2000000000000001E-4</v>
      </c>
      <c r="J235" s="51">
        <v>4.6800000000000001E-3</v>
      </c>
      <c r="K235" s="51">
        <v>1.0999999999999999E-2</v>
      </c>
      <c r="L235" s="51">
        <v>7.8900000000000012E-3</v>
      </c>
      <c r="M235" s="51">
        <v>2.5200000000000001E-3</v>
      </c>
      <c r="N235" s="51">
        <v>2.5659999999999999E-2</v>
      </c>
      <c r="O235" s="51">
        <v>2.7000000000000001E-3</v>
      </c>
      <c r="P235" s="51">
        <v>0</v>
      </c>
      <c r="Q235" s="52">
        <v>5.0140700000000002</v>
      </c>
      <c r="R235" s="52">
        <v>0.90383000000000013</v>
      </c>
      <c r="S235" s="52">
        <v>19.219580000000001</v>
      </c>
      <c r="T235" s="52">
        <v>75.220269999999985</v>
      </c>
      <c r="U235" s="52">
        <v>1.3127599999999999</v>
      </c>
      <c r="V235" s="52">
        <v>1.0532900000000001</v>
      </c>
      <c r="W235" s="53">
        <v>0.42122222222222222</v>
      </c>
      <c r="X235" s="53">
        <v>-3.8349431599999981</v>
      </c>
      <c r="Y235" s="53" t="s">
        <v>488</v>
      </c>
    </row>
    <row r="236" spans="1:25" x14ac:dyDescent="0.15">
      <c r="A236" s="49" t="s">
        <v>197</v>
      </c>
      <c r="B236" s="50">
        <v>30.082774625689517</v>
      </c>
      <c r="C236" s="51">
        <v>6.656999999999999E-2</v>
      </c>
      <c r="D236" s="51">
        <v>1.0530000000000001E-2</v>
      </c>
      <c r="E236" s="51">
        <v>7.7130000000000004E-2</v>
      </c>
      <c r="F236" s="51">
        <v>2.3799999999999997E-3</v>
      </c>
      <c r="G236" s="51">
        <v>3.96E-3</v>
      </c>
      <c r="H236" s="51">
        <v>3.372E-2</v>
      </c>
      <c r="I236" s="51">
        <v>2.9999999999999997E-4</v>
      </c>
      <c r="J236" s="51">
        <v>4.4199999999999995E-3</v>
      </c>
      <c r="K236" s="51">
        <v>1.0530000000000001E-2</v>
      </c>
      <c r="L236" s="51">
        <v>8.150000000000001E-3</v>
      </c>
      <c r="M236" s="51">
        <v>3.2199999999999998E-3</v>
      </c>
      <c r="N236" s="51">
        <v>2.3950000000000003E-2</v>
      </c>
      <c r="O236" s="51">
        <v>4.8428571428571427E-3</v>
      </c>
      <c r="P236" s="51">
        <v>0</v>
      </c>
      <c r="Q236" s="52">
        <v>7.0052800000000008</v>
      </c>
      <c r="R236" s="52">
        <v>1.1823300000000001</v>
      </c>
      <c r="S236" s="52">
        <v>27.43985</v>
      </c>
      <c r="T236" s="52">
        <v>67.750669999999985</v>
      </c>
      <c r="U236" s="52">
        <v>1.46008</v>
      </c>
      <c r="V236" s="52">
        <v>1.5483100000000001</v>
      </c>
      <c r="W236" s="53">
        <v>0.64877777777777768</v>
      </c>
      <c r="X236" s="53">
        <v>-3.4045776200000013</v>
      </c>
      <c r="Y236" s="53" t="s">
        <v>488</v>
      </c>
    </row>
    <row r="237" spans="1:25" x14ac:dyDescent="0.15">
      <c r="A237" s="49" t="s">
        <v>198</v>
      </c>
      <c r="B237" s="50">
        <v>30.1809598108747</v>
      </c>
      <c r="C237" s="51">
        <v>7.2020000000000001E-2</v>
      </c>
      <c r="D237" s="51">
        <v>1.093E-2</v>
      </c>
      <c r="E237" s="51">
        <v>8.5080000000000003E-2</v>
      </c>
      <c r="F237" s="51">
        <v>2.6714285714285711E-3</v>
      </c>
      <c r="G237" s="51">
        <v>2.5000000000000001E-3</v>
      </c>
      <c r="H237" s="51">
        <v>3.3090000000000001E-2</v>
      </c>
      <c r="I237" s="51">
        <v>2.9999999999999997E-4</v>
      </c>
      <c r="J237" s="51">
        <v>4.5299999999999993E-3</v>
      </c>
      <c r="K237" s="51">
        <v>1.1469999999999999E-2</v>
      </c>
      <c r="L237" s="51">
        <v>8.1899999999999994E-3</v>
      </c>
      <c r="M237" s="51">
        <v>2.9199999999999999E-3</v>
      </c>
      <c r="N237" s="51">
        <v>2.5030000000000004E-2</v>
      </c>
      <c r="O237" s="51">
        <v>3.7666666666666664E-3</v>
      </c>
      <c r="P237" s="51">
        <v>0</v>
      </c>
      <c r="Q237" s="52">
        <v>6.3894900000000003</v>
      </c>
      <c r="R237" s="52">
        <v>1.0812899999999999</v>
      </c>
      <c r="S237" s="52">
        <v>25.343670000000003</v>
      </c>
      <c r="T237" s="52">
        <v>66.529939999999996</v>
      </c>
      <c r="U237" s="52">
        <v>1.32551</v>
      </c>
      <c r="V237" s="52">
        <v>1.3359200000000002</v>
      </c>
      <c r="W237" s="53">
        <v>0.74622222222222223</v>
      </c>
      <c r="X237" s="53">
        <v>-3.4296903600000022</v>
      </c>
      <c r="Y237" s="53" t="s">
        <v>488</v>
      </c>
    </row>
    <row r="238" spans="1:25" x14ac:dyDescent="0.15">
      <c r="A238" s="49" t="s">
        <v>199</v>
      </c>
      <c r="B238" s="50">
        <v>30.279144996059888</v>
      </c>
      <c r="C238" s="51">
        <v>5.6649999999999999E-2</v>
      </c>
      <c r="D238" s="51">
        <v>1.4849999999999999E-2</v>
      </c>
      <c r="E238" s="51">
        <v>0.13098000000000001</v>
      </c>
      <c r="F238" s="51">
        <v>3.0285714285714286E-3</v>
      </c>
      <c r="G238" s="51">
        <v>2.7166666666666663E-3</v>
      </c>
      <c r="H238" s="51">
        <v>3.1620000000000002E-2</v>
      </c>
      <c r="I238" s="51">
        <v>5.9999999999999995E-4</v>
      </c>
      <c r="J238" s="51">
        <v>4.3600000000000002E-3</v>
      </c>
      <c r="K238" s="51">
        <v>8.9499999999999996E-3</v>
      </c>
      <c r="L238" s="51">
        <v>8.7499999999999991E-3</v>
      </c>
      <c r="M238" s="51">
        <v>5.45E-3</v>
      </c>
      <c r="N238" s="51">
        <v>2.4969999999999999E-2</v>
      </c>
      <c r="O238" s="51">
        <v>6.1500000000000001E-3</v>
      </c>
      <c r="P238" s="51">
        <v>0</v>
      </c>
      <c r="Q238" s="52">
        <v>10.41236</v>
      </c>
      <c r="R238" s="52">
        <v>1.9936300000000002</v>
      </c>
      <c r="S238" s="52">
        <v>37.773949999999999</v>
      </c>
      <c r="T238" s="52">
        <v>44.857430000000001</v>
      </c>
      <c r="U238" s="52">
        <v>1.8287300000000002</v>
      </c>
      <c r="V238" s="52">
        <v>2.4715099999999999</v>
      </c>
      <c r="W238" s="53">
        <v>1.1763333333333332</v>
      </c>
      <c r="X238" s="53">
        <v>-3.7323366</v>
      </c>
      <c r="Y238" s="53" t="s">
        <v>488</v>
      </c>
    </row>
    <row r="239" spans="1:25" x14ac:dyDescent="0.15">
      <c r="A239" s="49" t="s">
        <v>200</v>
      </c>
      <c r="B239" s="50">
        <v>30.377330181245071</v>
      </c>
      <c r="C239" s="51">
        <v>6.4629999999999993E-2</v>
      </c>
      <c r="D239" s="51">
        <v>1.158E-2</v>
      </c>
      <c r="E239" s="51">
        <v>0.13626000000000002</v>
      </c>
      <c r="F239" s="51">
        <v>3.7375000000000004E-3</v>
      </c>
      <c r="G239" s="51">
        <v>2.8600000000000001E-3</v>
      </c>
      <c r="H239" s="51">
        <v>3.3389999999999996E-2</v>
      </c>
      <c r="I239" s="51">
        <v>5.6000000000000006E-4</v>
      </c>
      <c r="J239" s="51">
        <v>4.360000000000001E-3</v>
      </c>
      <c r="K239" s="51">
        <v>9.2300000000000004E-3</v>
      </c>
      <c r="L239" s="51">
        <v>7.8900000000000012E-3</v>
      </c>
      <c r="M239" s="51">
        <v>5.0699999999999999E-3</v>
      </c>
      <c r="N239" s="51">
        <v>2.7910000000000001E-2</v>
      </c>
      <c r="O239" s="51">
        <v>7.3000000000000009E-3</v>
      </c>
      <c r="P239" s="51">
        <v>0</v>
      </c>
      <c r="Q239" s="52">
        <v>9.9105300000000014</v>
      </c>
      <c r="R239" s="52">
        <v>1.9063500000000002</v>
      </c>
      <c r="S239" s="52">
        <v>36.333099999999995</v>
      </c>
      <c r="T239" s="52">
        <v>46.98865</v>
      </c>
      <c r="U239" s="52">
        <v>1.9307799999999999</v>
      </c>
      <c r="V239" s="52">
        <v>2.3111100000000002</v>
      </c>
      <c r="W239" s="53">
        <v>1.1263333333333334</v>
      </c>
      <c r="X239" s="53">
        <v>-3.7263009199999999</v>
      </c>
      <c r="Y239" s="53" t="s">
        <v>488</v>
      </c>
    </row>
    <row r="240" spans="1:25" x14ac:dyDescent="0.15">
      <c r="A240" s="49" t="s">
        <v>201</v>
      </c>
      <c r="B240" s="50">
        <v>30.475515366430258</v>
      </c>
      <c r="C240" s="51">
        <v>5.9150000000000015E-2</v>
      </c>
      <c r="D240" s="51">
        <v>1.141E-2</v>
      </c>
      <c r="E240" s="51">
        <v>0.11191999999999999</v>
      </c>
      <c r="F240" s="51">
        <v>2.15E-3</v>
      </c>
      <c r="G240" s="51">
        <v>2.9625000000000003E-3</v>
      </c>
      <c r="H240" s="51">
        <v>3.2039999999999999E-2</v>
      </c>
      <c r="I240" s="51">
        <v>4.8999999999999998E-4</v>
      </c>
      <c r="J240" s="51">
        <v>4.3600000000000002E-3</v>
      </c>
      <c r="K240" s="51">
        <v>9.9799999999999993E-3</v>
      </c>
      <c r="L240" s="51">
        <v>7.5599999999999999E-3</v>
      </c>
      <c r="M240" s="51">
        <v>4.3899999999999998E-3</v>
      </c>
      <c r="N240" s="51">
        <v>2.5890000000000003E-2</v>
      </c>
      <c r="O240" s="51">
        <v>6.0400000000000002E-3</v>
      </c>
      <c r="P240" s="51">
        <v>0</v>
      </c>
      <c r="Q240" s="52">
        <v>9.0730500000000003</v>
      </c>
      <c r="R240" s="52">
        <v>1.6556299999999999</v>
      </c>
      <c r="S240" s="52">
        <v>33.493079999999999</v>
      </c>
      <c r="T240" s="52">
        <v>53.305199999999999</v>
      </c>
      <c r="U240" s="52">
        <v>1.6864099999999997</v>
      </c>
      <c r="V240" s="52">
        <v>1.95865</v>
      </c>
      <c r="W240" s="53">
        <v>1.4182222222222225</v>
      </c>
      <c r="X240" s="53">
        <v>-3.4393905600000032</v>
      </c>
      <c r="Y240" s="53" t="s">
        <v>488</v>
      </c>
    </row>
    <row r="241" spans="1:24" x14ac:dyDescent="0.15">
      <c r="A241" s="29" t="s">
        <v>202</v>
      </c>
      <c r="B241" s="30">
        <v>30.573700551615442</v>
      </c>
      <c r="C241" s="31">
        <v>5.7080000000000006E-2</v>
      </c>
      <c r="D241" s="31">
        <v>1.1129999999999998E-2</v>
      </c>
      <c r="E241" s="31">
        <v>0.12711</v>
      </c>
      <c r="F241" s="31">
        <v>3.4571428571428574E-3</v>
      </c>
      <c r="G241" s="31">
        <v>2.0500000000000002E-3</v>
      </c>
      <c r="H241" s="31">
        <v>3.236E-2</v>
      </c>
      <c r="I241" s="31">
        <v>5.3000000000000009E-4</v>
      </c>
      <c r="J241" s="31">
        <v>4.3099999999999996E-3</v>
      </c>
      <c r="K241" s="31">
        <v>9.4799999999999988E-3</v>
      </c>
      <c r="L241" s="31">
        <v>8.5599999999999999E-3</v>
      </c>
      <c r="M241" s="31">
        <v>4.7799999999999995E-3</v>
      </c>
      <c r="N241" s="31">
        <v>3.4719999999999994E-2</v>
      </c>
      <c r="O241" s="31">
        <v>8.3599999999999994E-3</v>
      </c>
      <c r="P241" s="31">
        <v>0</v>
      </c>
      <c r="Q241" s="32">
        <v>9.6797199999999997</v>
      </c>
      <c r="R241" s="32">
        <v>1.8554999999999999</v>
      </c>
      <c r="S241" s="32">
        <v>36.498060000000002</v>
      </c>
      <c r="T241" s="32">
        <v>48.451380000000007</v>
      </c>
      <c r="U241" s="32">
        <v>1.8475300000000001</v>
      </c>
      <c r="V241" s="32">
        <v>2.1829200000000002</v>
      </c>
      <c r="W241" s="33">
        <v>1.1368888888888891</v>
      </c>
      <c r="X241" s="33">
        <v>-3.6830349485714287</v>
      </c>
    </row>
    <row r="242" spans="1:24" x14ac:dyDescent="0.15">
      <c r="A242" s="29" t="s">
        <v>203</v>
      </c>
      <c r="B242" s="30">
        <v>30.671885736800629</v>
      </c>
      <c r="C242" s="31">
        <v>5.8509999999999993E-2</v>
      </c>
      <c r="D242" s="31">
        <v>9.9100000000000004E-3</v>
      </c>
      <c r="E242" s="31">
        <v>0.13755999999999999</v>
      </c>
      <c r="F242" s="31">
        <v>3.3500000000000001E-3</v>
      </c>
      <c r="G242" s="31">
        <v>3.4333333333333334E-3</v>
      </c>
      <c r="H242" s="31">
        <v>3.2410000000000008E-2</v>
      </c>
      <c r="I242" s="31">
        <v>5.4999999999999992E-4</v>
      </c>
      <c r="J242" s="31">
        <v>4.4200000000000003E-3</v>
      </c>
      <c r="K242" s="31">
        <v>9.9899999999999989E-3</v>
      </c>
      <c r="L242" s="31">
        <v>9.1800000000000007E-3</v>
      </c>
      <c r="M242" s="31">
        <v>4.5699999999999994E-3</v>
      </c>
      <c r="N242" s="31">
        <v>2.6680000000000002E-2</v>
      </c>
      <c r="O242" s="31">
        <v>7.2099999999999994E-3</v>
      </c>
      <c r="P242" s="31">
        <v>0</v>
      </c>
      <c r="Q242" s="32">
        <v>9.5417000000000005</v>
      </c>
      <c r="R242" s="32">
        <v>1.9468399999999999</v>
      </c>
      <c r="S242" s="32">
        <v>35.965760000000003</v>
      </c>
      <c r="T242" s="32">
        <v>47.955439999999996</v>
      </c>
      <c r="U242" s="32">
        <v>1.7844799999999998</v>
      </c>
      <c r="V242" s="32">
        <v>2.1410200000000001</v>
      </c>
      <c r="W242" s="33">
        <v>1.1111111111111112</v>
      </c>
      <c r="X242" s="33">
        <v>-3.6567828200000001</v>
      </c>
    </row>
    <row r="243" spans="1:24" x14ac:dyDescent="0.15">
      <c r="A243" s="29" t="s">
        <v>204</v>
      </c>
      <c r="B243" s="30">
        <v>30.770070921985813</v>
      </c>
      <c r="C243" s="31">
        <v>5.9230000000000005E-2</v>
      </c>
      <c r="D243" s="31">
        <v>1.048E-2</v>
      </c>
      <c r="E243" s="31">
        <v>0.12427000000000002</v>
      </c>
      <c r="F243" s="31">
        <v>2.98E-3</v>
      </c>
      <c r="G243" s="31">
        <v>4.2833333333333334E-3</v>
      </c>
      <c r="H243" s="31">
        <v>3.4350000000000006E-2</v>
      </c>
      <c r="I243" s="31">
        <v>5.0000000000000012E-4</v>
      </c>
      <c r="J243" s="31">
        <v>4.3200000000000001E-3</v>
      </c>
      <c r="K243" s="31">
        <v>9.6799999999999994E-3</v>
      </c>
      <c r="L243" s="31">
        <v>8.8800000000000007E-3</v>
      </c>
      <c r="M243" s="31">
        <v>4.4999999999999997E-3</v>
      </c>
      <c r="N243" s="31">
        <v>2.7649999999999997E-2</v>
      </c>
      <c r="O243" s="31">
        <v>6.6700000000000006E-3</v>
      </c>
      <c r="P243" s="31">
        <v>0</v>
      </c>
      <c r="Q243" s="32">
        <v>9.5174199999999995</v>
      </c>
      <c r="R243" s="32">
        <v>1.7412000000000003</v>
      </c>
      <c r="S243" s="32">
        <v>36.294330000000002</v>
      </c>
      <c r="T243" s="32">
        <v>50.558009999999996</v>
      </c>
      <c r="U243" s="32">
        <v>1.8893799999999998</v>
      </c>
      <c r="V243" s="32">
        <v>2.04949</v>
      </c>
      <c r="W243" s="33">
        <v>0.94255555555555559</v>
      </c>
      <c r="X243" s="33">
        <v>-3.8263207600000015</v>
      </c>
    </row>
    <row r="244" spans="1:24" x14ac:dyDescent="0.15">
      <c r="A244" s="29" t="s">
        <v>205</v>
      </c>
      <c r="B244" s="30">
        <v>30.868256107170996</v>
      </c>
      <c r="C244" s="31">
        <v>6.368E-2</v>
      </c>
      <c r="D244" s="31">
        <v>1.4590000000000001E-2</v>
      </c>
      <c r="E244" s="31">
        <v>0.12137999999999997</v>
      </c>
      <c r="F244" s="31">
        <v>3.2333333333333333E-3</v>
      </c>
      <c r="G244" s="31">
        <v>1.98E-3</v>
      </c>
      <c r="H244" s="31">
        <v>3.3879999999999993E-2</v>
      </c>
      <c r="I244" s="31">
        <v>4.6000000000000007E-4</v>
      </c>
      <c r="J244" s="31">
        <v>4.2599999999999999E-3</v>
      </c>
      <c r="K244" s="31">
        <v>1.0060000000000001E-2</v>
      </c>
      <c r="L244" s="31">
        <v>8.3600000000000011E-3</v>
      </c>
      <c r="M244" s="31">
        <v>4.5499999999999994E-3</v>
      </c>
      <c r="N244" s="31">
        <v>2.7549999999999998E-2</v>
      </c>
      <c r="O244" s="31">
        <v>6.0400000000000002E-3</v>
      </c>
      <c r="P244" s="31">
        <v>0</v>
      </c>
      <c r="Q244" s="32">
        <v>8.9263700000000004</v>
      </c>
      <c r="R244" s="32">
        <v>1.6944899999999996</v>
      </c>
      <c r="S244" s="32">
        <v>35.293710000000004</v>
      </c>
      <c r="T244" s="32">
        <v>48.842970000000001</v>
      </c>
      <c r="U244" s="32">
        <v>1.7236900000000002</v>
      </c>
      <c r="V244" s="32">
        <v>1.94465</v>
      </c>
      <c r="W244" s="33">
        <v>0.98744444444444446</v>
      </c>
      <c r="X244" s="33">
        <v>-3.5326202600000016</v>
      </c>
    </row>
    <row r="245" spans="1:24" x14ac:dyDescent="0.15">
      <c r="A245" s="29" t="s">
        <v>206</v>
      </c>
      <c r="B245" s="30">
        <v>30.966441292356183</v>
      </c>
      <c r="C245" s="31">
        <v>6.0400000000000009E-2</v>
      </c>
      <c r="D245" s="31">
        <v>9.8899999999999995E-3</v>
      </c>
      <c r="E245" s="31">
        <v>0.14612</v>
      </c>
      <c r="F245" s="31">
        <v>4.1142857142857144E-3</v>
      </c>
      <c r="G245" s="31">
        <v>3.1125000000000002E-3</v>
      </c>
      <c r="H245" s="31">
        <v>3.2509999999999997E-2</v>
      </c>
      <c r="I245" s="31">
        <v>4.7000000000000009E-4</v>
      </c>
      <c r="J245" s="31">
        <v>4.15E-3</v>
      </c>
      <c r="K245" s="31">
        <v>9.6299999999999997E-3</v>
      </c>
      <c r="L245" s="31">
        <v>8.1899999999999994E-3</v>
      </c>
      <c r="M245" s="31">
        <v>4.8700000000000002E-3</v>
      </c>
      <c r="N245" s="31">
        <v>2.8839999999999998E-2</v>
      </c>
      <c r="O245" s="31">
        <v>7.9900000000000006E-3</v>
      </c>
      <c r="P245" s="31">
        <v>0</v>
      </c>
      <c r="Q245" s="32">
        <v>9.9539600000000004</v>
      </c>
      <c r="R245" s="32">
        <v>1.6567700000000003</v>
      </c>
      <c r="S245" s="32">
        <v>38.432430000000004</v>
      </c>
      <c r="T245" s="32">
        <v>44.447630000000004</v>
      </c>
      <c r="U245" s="32">
        <v>1.9793099999999999</v>
      </c>
      <c r="V245" s="32">
        <v>2.24308</v>
      </c>
      <c r="W245" s="33">
        <v>0.81566666666666665</v>
      </c>
      <c r="X245" s="33">
        <v>-3.4624246857142822</v>
      </c>
    </row>
    <row r="246" spans="1:24" x14ac:dyDescent="0.15">
      <c r="A246" s="29" t="s">
        <v>207</v>
      </c>
      <c r="B246" s="30">
        <v>31.064626477541367</v>
      </c>
      <c r="C246" s="31">
        <v>6.5029999999999991E-2</v>
      </c>
      <c r="D246" s="31">
        <v>1.078E-2</v>
      </c>
      <c r="E246" s="31">
        <v>0.10750999999999999</v>
      </c>
      <c r="F246" s="31">
        <v>2.6428571428571425E-3</v>
      </c>
      <c r="G246" s="31">
        <v>2.6000000000000003E-3</v>
      </c>
      <c r="H246" s="31">
        <v>3.4520000000000002E-2</v>
      </c>
      <c r="I246" s="31">
        <v>4.0000000000000007E-4</v>
      </c>
      <c r="J246" s="31">
        <v>4.13E-3</v>
      </c>
      <c r="K246" s="31">
        <v>1.026E-2</v>
      </c>
      <c r="L246" s="31">
        <v>7.6499999999999997E-3</v>
      </c>
      <c r="M246" s="31">
        <v>4.2100000000000002E-3</v>
      </c>
      <c r="N246" s="31">
        <v>2.6970000000000001E-2</v>
      </c>
      <c r="O246" s="31">
        <v>5.3800000000000002E-3</v>
      </c>
      <c r="P246" s="31">
        <v>0</v>
      </c>
      <c r="Q246" s="32">
        <v>8.4914100000000001</v>
      </c>
      <c r="R246" s="32">
        <v>1.3689200000000001</v>
      </c>
      <c r="S246" s="32">
        <v>33.921590000000002</v>
      </c>
      <c r="T246" s="32">
        <v>57.318370000000002</v>
      </c>
      <c r="U246" s="32">
        <v>1.71756</v>
      </c>
      <c r="V246" s="32">
        <v>1.8410499999999999</v>
      </c>
      <c r="W246" s="33">
        <v>0.95311111111111124</v>
      </c>
      <c r="X246" s="33">
        <v>-3.3525198799999991</v>
      </c>
    </row>
    <row r="247" spans="1:24" x14ac:dyDescent="0.15">
      <c r="A247" s="29" t="s">
        <v>208</v>
      </c>
      <c r="B247" s="30">
        <v>31.162811662726554</v>
      </c>
      <c r="C247" s="31">
        <v>7.0080000000000003E-2</v>
      </c>
      <c r="D247" s="31">
        <v>9.3599999999999968E-3</v>
      </c>
      <c r="E247" s="31">
        <v>6.8690000000000015E-2</v>
      </c>
      <c r="F247" s="31">
        <v>2.5000000000000001E-3</v>
      </c>
      <c r="G247" s="31">
        <v>2.9666666666666665E-3</v>
      </c>
      <c r="H247" s="31">
        <v>3.3800000000000004E-2</v>
      </c>
      <c r="I247" s="31">
        <v>2.0000000000000004E-4</v>
      </c>
      <c r="J247" s="31">
        <v>4.3400000000000001E-3</v>
      </c>
      <c r="K247" s="31">
        <v>1.0769999999999998E-2</v>
      </c>
      <c r="L247" s="31">
        <v>7.2099999999999994E-3</v>
      </c>
      <c r="M247" s="31">
        <v>2.8799999999999997E-3</v>
      </c>
      <c r="N247" s="31">
        <v>2.682E-2</v>
      </c>
      <c r="O247" s="31">
        <v>2.5499999999999997E-3</v>
      </c>
      <c r="P247" s="31">
        <v>0</v>
      </c>
      <c r="Q247" s="32">
        <v>6.0865999999999998</v>
      </c>
      <c r="R247" s="32">
        <v>0.93678000000000006</v>
      </c>
      <c r="S247" s="32">
        <v>24.701169999999998</v>
      </c>
      <c r="T247" s="32">
        <v>70.048439999999999</v>
      </c>
      <c r="U247" s="32">
        <v>1.2812199999999998</v>
      </c>
      <c r="V247" s="32">
        <v>1.1371100000000003</v>
      </c>
      <c r="W247" s="33">
        <v>1.0703333333333331</v>
      </c>
      <c r="X247" s="33">
        <v>-3.5287401799999962</v>
      </c>
    </row>
    <row r="248" spans="1:24" x14ac:dyDescent="0.15">
      <c r="A248" s="29" t="s">
        <v>209</v>
      </c>
      <c r="B248" s="30">
        <v>31.260996847911738</v>
      </c>
      <c r="C248" s="31">
        <v>7.1599999999999997E-2</v>
      </c>
      <c r="D248" s="31">
        <v>1.204E-2</v>
      </c>
      <c r="E248" s="31">
        <v>0.13946</v>
      </c>
      <c r="F248" s="31">
        <v>3.0111111111111111E-3</v>
      </c>
      <c r="G248" s="31">
        <v>2.9499999999999995E-3</v>
      </c>
      <c r="H248" s="31">
        <v>3.2399999999999998E-2</v>
      </c>
      <c r="I248" s="31">
        <v>5.1000000000000004E-4</v>
      </c>
      <c r="J248" s="31">
        <v>4.1000000000000012E-3</v>
      </c>
      <c r="K248" s="31">
        <v>9.1299999999999992E-3</v>
      </c>
      <c r="L248" s="31">
        <v>7.8300000000000002E-3</v>
      </c>
      <c r="M248" s="31">
        <v>5.2399999999999999E-3</v>
      </c>
      <c r="N248" s="31">
        <v>2.7419999999999993E-2</v>
      </c>
      <c r="O248" s="31">
        <v>8.7499999999999991E-3</v>
      </c>
      <c r="P248" s="31">
        <v>0</v>
      </c>
      <c r="Q248" s="32">
        <v>10.204960000000002</v>
      </c>
      <c r="R248" s="32">
        <v>1.8374199999999998</v>
      </c>
      <c r="S248" s="32">
        <v>38.953020000000002</v>
      </c>
      <c r="T248" s="32">
        <v>45.042209999999997</v>
      </c>
      <c r="U248" s="32">
        <v>1.9711400000000006</v>
      </c>
      <c r="V248" s="32">
        <v>2.2720399999999996</v>
      </c>
      <c r="W248" s="33">
        <v>1.007222222222222</v>
      </c>
      <c r="X248" s="33">
        <v>-3.6414780599999972</v>
      </c>
    </row>
    <row r="249" spans="1:24" x14ac:dyDescent="0.15">
      <c r="A249" s="29" t="s">
        <v>210</v>
      </c>
      <c r="B249" s="30">
        <v>31.359182033096925</v>
      </c>
      <c r="C249" s="31">
        <v>5.1149999999999994E-2</v>
      </c>
      <c r="D249" s="31">
        <v>1.175E-2</v>
      </c>
      <c r="E249" s="31">
        <v>0.21399000000000004</v>
      </c>
      <c r="F249" s="31">
        <v>5.1000000000000004E-3</v>
      </c>
      <c r="G249" s="31">
        <v>4.2399999999999998E-3</v>
      </c>
      <c r="H249" s="31">
        <v>3.3010000000000005E-2</v>
      </c>
      <c r="I249" s="31">
        <v>7.1000000000000002E-4</v>
      </c>
      <c r="J249" s="31">
        <v>4.2099999999999993E-3</v>
      </c>
      <c r="K249" s="31">
        <v>7.9000000000000008E-3</v>
      </c>
      <c r="L249" s="31">
        <v>9.0400000000000012E-3</v>
      </c>
      <c r="M249" s="31">
        <v>7.3799999999999994E-3</v>
      </c>
      <c r="N249" s="31">
        <v>2.4990000000000002E-2</v>
      </c>
      <c r="O249" s="31">
        <v>9.9900000000000006E-3</v>
      </c>
      <c r="P249" s="31">
        <v>0</v>
      </c>
      <c r="Q249" s="32">
        <v>12.385630000000001</v>
      </c>
      <c r="R249" s="32">
        <v>2.5117599999999998</v>
      </c>
      <c r="S249" s="32">
        <v>45.093029999999999</v>
      </c>
      <c r="T249" s="32">
        <v>27.47541</v>
      </c>
      <c r="U249" s="32">
        <v>2.4632200000000002</v>
      </c>
      <c r="V249" s="32">
        <v>3.0744599999999997</v>
      </c>
      <c r="W249" s="33">
        <v>0.76444444444444448</v>
      </c>
      <c r="X249" s="33">
        <v>-3.2312827771428587</v>
      </c>
    </row>
    <row r="250" spans="1:24" x14ac:dyDescent="0.15">
      <c r="A250" s="29" t="s">
        <v>211</v>
      </c>
      <c r="B250" s="30">
        <v>31.457367218282108</v>
      </c>
      <c r="C250" s="31">
        <v>6.1736711322385493E-2</v>
      </c>
      <c r="D250" s="31">
        <v>0.17795918367346933</v>
      </c>
      <c r="E250" s="31">
        <v>0.26543810118675842</v>
      </c>
      <c r="F250" s="31">
        <v>6.1129518072289149E-3</v>
      </c>
      <c r="G250" s="31">
        <v>5.9581532165238517E-3</v>
      </c>
      <c r="H250" s="31">
        <v>3.7954202113946886E-2</v>
      </c>
      <c r="I250" s="31">
        <v>9.5238095238095227E-4</v>
      </c>
      <c r="J250" s="31">
        <v>3.0563056379821962E-3</v>
      </c>
      <c r="K250" s="31">
        <v>7.5122930800542729E-3</v>
      </c>
      <c r="L250" s="31">
        <v>1.0584558298844016E-2</v>
      </c>
      <c r="M250" s="31">
        <v>1.0013205855990435E-2</v>
      </c>
      <c r="N250" s="31">
        <v>2.1234771784232356E-2</v>
      </c>
      <c r="O250" s="31">
        <v>9.8086478173429557E-3</v>
      </c>
      <c r="P250" s="31">
        <v>0</v>
      </c>
      <c r="Q250" s="32">
        <v>13.48761821352298</v>
      </c>
      <c r="R250" s="32">
        <v>3.9578802213971174</v>
      </c>
      <c r="S250" s="32">
        <v>52.663799214895569</v>
      </c>
      <c r="T250" s="32">
        <v>22.136406058070005</v>
      </c>
      <c r="U250" s="32">
        <v>2.8990727709061983</v>
      </c>
      <c r="V250" s="32">
        <v>3.8170212784477919</v>
      </c>
      <c r="W250" s="33">
        <v>0.55233333333333345</v>
      </c>
      <c r="X250" s="33">
        <v>-3.6205687399999995</v>
      </c>
    </row>
    <row r="251" spans="1:24" x14ac:dyDescent="0.15">
      <c r="A251" s="29" t="s">
        <v>212</v>
      </c>
      <c r="B251" s="30">
        <v>31.555552403467296</v>
      </c>
      <c r="C251" s="31">
        <v>6.4457649092480571E-2</v>
      </c>
      <c r="D251" s="31">
        <v>0.15899529042386182</v>
      </c>
      <c r="E251" s="31">
        <v>0.24214216114928175</v>
      </c>
      <c r="F251" s="31">
        <v>6.909126506024094E-3</v>
      </c>
      <c r="G251" s="31">
        <v>4.3614272924926457E-3</v>
      </c>
      <c r="H251" s="31">
        <v>3.8935266821345717E-2</v>
      </c>
      <c r="I251" s="31">
        <v>8.3333333333333328E-4</v>
      </c>
      <c r="J251" s="31">
        <v>2.8907270029673599E-3</v>
      </c>
      <c r="K251" s="31">
        <v>8.232781546811398E-3</v>
      </c>
      <c r="L251" s="31">
        <v>9.9652490366776113E-3</v>
      </c>
      <c r="M251" s="31">
        <v>8.7413205855990436E-3</v>
      </c>
      <c r="N251" s="31">
        <v>2.4370954356846469E-2</v>
      </c>
      <c r="O251" s="31">
        <v>9.740328877321661E-3</v>
      </c>
      <c r="P251" s="31">
        <v>0</v>
      </c>
      <c r="Q251" s="32">
        <v>12.809005629751137</v>
      </c>
      <c r="R251" s="32">
        <v>3.5793089077281794</v>
      </c>
      <c r="S251" s="32">
        <v>50.827649450101674</v>
      </c>
      <c r="T251" s="32">
        <v>27.948600083689914</v>
      </c>
      <c r="U251" s="32">
        <v>2.7517100476887872</v>
      </c>
      <c r="V251" s="32">
        <v>3.4845055122017037</v>
      </c>
      <c r="W251" s="33">
        <v>0.70055555555555549</v>
      </c>
      <c r="X251" s="33">
        <v>-3.6988170199999963</v>
      </c>
    </row>
    <row r="252" spans="1:24" x14ac:dyDescent="0.15">
      <c r="A252" s="29" t="s">
        <v>213</v>
      </c>
      <c r="B252" s="30">
        <v>31.653737588652479</v>
      </c>
      <c r="C252" s="31">
        <v>6.5153414001728638E-2</v>
      </c>
      <c r="D252" s="31">
        <v>0.13965463108320247</v>
      </c>
      <c r="E252" s="31">
        <v>0.23109756402248599</v>
      </c>
      <c r="F252" s="31">
        <v>4.8009036144578306E-3</v>
      </c>
      <c r="G252" s="31">
        <v>4.9675917636526406E-3</v>
      </c>
      <c r="H252" s="31">
        <v>4.0188192833204441E-2</v>
      </c>
      <c r="I252" s="31">
        <v>8.3333333333333328E-4</v>
      </c>
      <c r="J252" s="31">
        <v>2.9459198813056387E-3</v>
      </c>
      <c r="K252" s="31">
        <v>8.1078968792401614E-3</v>
      </c>
      <c r="L252" s="31">
        <v>1.0179192236335097E-2</v>
      </c>
      <c r="M252" s="31">
        <v>8.2441290708096804E-3</v>
      </c>
      <c r="N252" s="31">
        <v>2.3438838174273852E-2</v>
      </c>
      <c r="O252" s="31">
        <v>9.5353720572577752E-3</v>
      </c>
      <c r="P252" s="31">
        <v>0</v>
      </c>
      <c r="Q252" s="32">
        <v>12.469465571848161</v>
      </c>
      <c r="R252" s="32">
        <v>3.4294505637653239</v>
      </c>
      <c r="S252" s="32">
        <v>50.098118953653199</v>
      </c>
      <c r="T252" s="32">
        <v>29.950404681235913</v>
      </c>
      <c r="U252" s="32">
        <v>2.6502423923361902</v>
      </c>
      <c r="V252" s="32">
        <v>3.3187999808498323</v>
      </c>
      <c r="W252" s="33">
        <v>0.64399999999999991</v>
      </c>
      <c r="X252" s="33">
        <v>-3.7297067680000033</v>
      </c>
    </row>
    <row r="253" spans="1:24" x14ac:dyDescent="0.15">
      <c r="A253" s="29" t="s">
        <v>214</v>
      </c>
      <c r="B253" s="30">
        <v>31.751922773837666</v>
      </c>
      <c r="C253" s="31">
        <v>6.3289757994814191E-2</v>
      </c>
      <c r="D253" s="31">
        <v>0.15346938775510202</v>
      </c>
      <c r="E253" s="31">
        <v>0.25330168644597134</v>
      </c>
      <c r="F253" s="31">
        <v>5.6358433734939742E-3</v>
      </c>
      <c r="G253" s="31">
        <v>5.091781557743957E-3</v>
      </c>
      <c r="H253" s="31">
        <v>4.0377313740654806E-2</v>
      </c>
      <c r="I253" s="31">
        <v>9.2857142857142856E-4</v>
      </c>
      <c r="J253" s="31">
        <v>3.0356083086053413E-3</v>
      </c>
      <c r="K253" s="31">
        <v>7.1184260515603807E-3</v>
      </c>
      <c r="L253" s="31">
        <v>9.3684601113172561E-3</v>
      </c>
      <c r="M253" s="31">
        <v>8.7181953988646546E-3</v>
      </c>
      <c r="N253" s="31">
        <v>2.3487385892116176E-2</v>
      </c>
      <c r="O253" s="31">
        <v>1.0296640246066484E-2</v>
      </c>
      <c r="P253" s="31">
        <v>0</v>
      </c>
      <c r="Q253" s="32">
        <v>12.996923016244036</v>
      </c>
      <c r="R253" s="32">
        <v>3.7969504391835471</v>
      </c>
      <c r="S253" s="32">
        <v>51.302652209636655</v>
      </c>
      <c r="T253" s="32">
        <v>27.384198804044107</v>
      </c>
      <c r="U253" s="32">
        <v>2.7876349945534522</v>
      </c>
      <c r="V253" s="32">
        <v>3.5462900031771878</v>
      </c>
      <c r="W253" s="33">
        <v>0.82511111111111113</v>
      </c>
      <c r="X253" s="33">
        <v>-3.46094656</v>
      </c>
    </row>
    <row r="254" spans="1:24" x14ac:dyDescent="0.15">
      <c r="A254" s="29" t="s">
        <v>215</v>
      </c>
      <c r="B254" s="30">
        <v>31.85010795902285</v>
      </c>
      <c r="C254" s="31">
        <v>6.580301307561115E-2</v>
      </c>
      <c r="D254" s="31">
        <v>0.16975609756097559</v>
      </c>
      <c r="E254" s="31">
        <v>0.24874048477564106</v>
      </c>
      <c r="F254" s="31">
        <v>4.9101208459214505E-3</v>
      </c>
      <c r="G254" s="31">
        <v>4.5233860722947222E-3</v>
      </c>
      <c r="H254" s="31">
        <v>3.8508165429480379E-2</v>
      </c>
      <c r="I254" s="31">
        <v>9.5121951219512215E-4</v>
      </c>
      <c r="J254" s="31">
        <v>2.9868107302533533E-3</v>
      </c>
      <c r="K254" s="31">
        <v>7.3150597609561762E-3</v>
      </c>
      <c r="L254" s="31">
        <v>9.9466989186112725E-3</v>
      </c>
      <c r="M254" s="31">
        <v>8.7204769001490313E-3</v>
      </c>
      <c r="N254" s="31">
        <v>2.4836416424720023E-2</v>
      </c>
      <c r="O254" s="31">
        <v>1.0663527897999766E-2</v>
      </c>
      <c r="P254" s="31">
        <v>0</v>
      </c>
      <c r="Q254" s="32">
        <v>12.853190314025763</v>
      </c>
      <c r="R254" s="32">
        <v>3.8981632298058062</v>
      </c>
      <c r="S254" s="32">
        <v>51.30578246003104</v>
      </c>
      <c r="T254" s="32">
        <v>28.469760000000004</v>
      </c>
      <c r="U254" s="32">
        <v>2.6903015794669294</v>
      </c>
      <c r="V254" s="32">
        <v>3.4749038864256732</v>
      </c>
      <c r="W254" s="33">
        <v>0.85488888888888881</v>
      </c>
      <c r="X254" s="33">
        <v>-3.2866663000000003</v>
      </c>
    </row>
    <row r="255" spans="1:24" x14ac:dyDescent="0.15">
      <c r="A255" s="29" t="s">
        <v>216</v>
      </c>
      <c r="B255" s="30">
        <v>31.948293144208034</v>
      </c>
      <c r="C255" s="31">
        <v>6.4172647811256395E-2</v>
      </c>
      <c r="D255" s="31">
        <v>0.15904514789828747</v>
      </c>
      <c r="E255" s="31">
        <v>0.26465895432692305</v>
      </c>
      <c r="F255" s="31">
        <v>6.0151057401812676E-3</v>
      </c>
      <c r="G255" s="31">
        <v>5.216029564614851E-3</v>
      </c>
      <c r="H255" s="31">
        <v>4.0806986214209959E-2</v>
      </c>
      <c r="I255" s="31">
        <v>8.6585365853658538E-4</v>
      </c>
      <c r="J255" s="31">
        <v>3.0214605067064092E-3</v>
      </c>
      <c r="K255" s="31">
        <v>7.2398406374502003E-3</v>
      </c>
      <c r="L255" s="31">
        <v>9.9466989186112725E-3</v>
      </c>
      <c r="M255" s="31">
        <v>9.2280178837555859E-3</v>
      </c>
      <c r="N255" s="31">
        <v>2.3817337204479466E-2</v>
      </c>
      <c r="O255" s="31">
        <v>1.090478418528483E-2</v>
      </c>
      <c r="P255" s="31">
        <v>0</v>
      </c>
      <c r="Q255" s="32">
        <v>12.841144222064425</v>
      </c>
      <c r="R255" s="32">
        <v>3.7165406308642752</v>
      </c>
      <c r="S255" s="32">
        <v>52.141958413345236</v>
      </c>
      <c r="T255" s="32">
        <v>25.764729375000002</v>
      </c>
      <c r="U255" s="32">
        <v>2.784876110562684</v>
      </c>
      <c r="V255" s="32">
        <v>3.5462737395473787</v>
      </c>
      <c r="W255" s="33">
        <v>0.67588888888888887</v>
      </c>
      <c r="X255" s="33">
        <v>-3.4567431399999968</v>
      </c>
    </row>
    <row r="256" spans="1:24" x14ac:dyDescent="0.15">
      <c r="A256" s="29" t="s">
        <v>217</v>
      </c>
      <c r="B256" s="30">
        <v>32.046478329393224</v>
      </c>
      <c r="C256" s="31">
        <v>6.2260339681637314E-2</v>
      </c>
      <c r="D256" s="31">
        <v>0.15680332122470161</v>
      </c>
      <c r="E256" s="31">
        <v>0.26578776041666669</v>
      </c>
      <c r="F256" s="31">
        <v>5.8697129909365551E-3</v>
      </c>
      <c r="G256" s="31">
        <v>5.0464025869037992E-3</v>
      </c>
      <c r="H256" s="31">
        <v>4.0456911983032855E-2</v>
      </c>
      <c r="I256" s="31">
        <v>9.6341463414634178E-4</v>
      </c>
      <c r="J256" s="31">
        <v>2.9729508196721312E-3</v>
      </c>
      <c r="K256" s="31">
        <v>6.7697211155378504E-3</v>
      </c>
      <c r="L256" s="31">
        <v>1.0047737620944793E-2</v>
      </c>
      <c r="M256" s="31">
        <v>9.4933233979135612E-3</v>
      </c>
      <c r="N256" s="31">
        <v>2.2584736623807545E-2</v>
      </c>
      <c r="O256" s="31">
        <v>9.9108082816703712E-3</v>
      </c>
      <c r="P256" s="31">
        <v>0</v>
      </c>
      <c r="Q256" s="32">
        <v>13.029489252129965</v>
      </c>
      <c r="R256" s="32">
        <v>3.8418402228688295</v>
      </c>
      <c r="S256" s="32">
        <v>52.355664671138562</v>
      </c>
      <c r="T256" s="32">
        <v>23.897053125000006</v>
      </c>
      <c r="U256" s="32">
        <v>2.8344343534057246</v>
      </c>
      <c r="V256" s="32">
        <v>3.644957149665661</v>
      </c>
      <c r="W256" s="33">
        <v>0.69933333333333336</v>
      </c>
      <c r="X256" s="33">
        <v>-3.4003742000000052</v>
      </c>
    </row>
    <row r="257" spans="1:24" x14ac:dyDescent="0.15">
      <c r="A257" s="29" t="s">
        <v>218</v>
      </c>
      <c r="B257" s="30">
        <v>32.144663514578411</v>
      </c>
      <c r="C257" s="31">
        <v>6.4895892552586709E-2</v>
      </c>
      <c r="D257" s="31">
        <v>0.15916969382459786</v>
      </c>
      <c r="E257" s="31">
        <v>0.2336743790064103</v>
      </c>
      <c r="F257" s="31">
        <v>5.2697453603797999E-3</v>
      </c>
      <c r="G257" s="31">
        <v>4.1723524656426831E-3</v>
      </c>
      <c r="H257" s="31">
        <v>4.0421904559915151E-2</v>
      </c>
      <c r="I257" s="31">
        <v>8.5365853658536596E-4</v>
      </c>
      <c r="J257" s="31">
        <v>2.9660208643815206E-3</v>
      </c>
      <c r="K257" s="31">
        <v>7.5783266932270945E-3</v>
      </c>
      <c r="L257" s="31">
        <v>9.8681132612407543E-3</v>
      </c>
      <c r="M257" s="31">
        <v>8.3513561847988072E-3</v>
      </c>
      <c r="N257" s="31">
        <v>2.3671754458730813E-2</v>
      </c>
      <c r="O257" s="31">
        <v>9.8722072757047603E-3</v>
      </c>
      <c r="P257" s="31">
        <v>0</v>
      </c>
      <c r="Q257" s="32">
        <v>12.33045922360199</v>
      </c>
      <c r="R257" s="32">
        <v>3.3774914078478497</v>
      </c>
      <c r="S257" s="32">
        <v>50.607620750576338</v>
      </c>
      <c r="T257" s="32">
        <v>29.010444375000006</v>
      </c>
      <c r="U257" s="32">
        <v>2.6039195459032571</v>
      </c>
      <c r="V257" s="32">
        <v>3.2632630955647675</v>
      </c>
      <c r="W257" s="33">
        <v>0.78755555555555568</v>
      </c>
      <c r="X257" s="33">
        <v>-3.4266725199999968</v>
      </c>
    </row>
    <row r="258" spans="1:24" x14ac:dyDescent="0.15">
      <c r="A258" s="29" t="s">
        <v>219</v>
      </c>
      <c r="B258" s="30">
        <v>32.242848699763591</v>
      </c>
      <c r="C258" s="31">
        <v>5.8449999999999988E-2</v>
      </c>
      <c r="D258" s="31">
        <v>1.2140000000000001E-2</v>
      </c>
      <c r="E258" s="31">
        <v>0.13866000000000001</v>
      </c>
      <c r="F258" s="31">
        <v>3.4000000000000002E-3</v>
      </c>
      <c r="G258" s="31">
        <v>2.766666666666666E-3</v>
      </c>
      <c r="H258" s="31">
        <v>3.3479999999999996E-2</v>
      </c>
      <c r="I258" s="31">
        <v>5.0000000000000012E-4</v>
      </c>
      <c r="J258" s="31">
        <v>4.2699999999999995E-3</v>
      </c>
      <c r="K258" s="31">
        <v>9.6699999999999998E-3</v>
      </c>
      <c r="L258" s="31">
        <v>8.2800000000000009E-3</v>
      </c>
      <c r="M258" s="31">
        <v>4.9399999999999991E-3</v>
      </c>
      <c r="N258" s="31">
        <v>3.0889999999999994E-2</v>
      </c>
      <c r="O258" s="31">
        <v>8.5100000000000002E-3</v>
      </c>
      <c r="P258" s="31">
        <v>0</v>
      </c>
      <c r="Q258" s="32">
        <v>9.8378499999999995</v>
      </c>
      <c r="R258" s="32">
        <v>1.78624</v>
      </c>
      <c r="S258" s="32">
        <v>38.595379999999999</v>
      </c>
      <c r="T258" s="32">
        <v>46.535219999999995</v>
      </c>
      <c r="U258" s="32">
        <v>1.88826</v>
      </c>
      <c r="V258" s="32">
        <v>2.1017999999999999</v>
      </c>
      <c r="W258" s="33">
        <v>0.99466666666666648</v>
      </c>
      <c r="X258" s="33">
        <v>-3.5202255600000001</v>
      </c>
    </row>
    <row r="259" spans="1:24" x14ac:dyDescent="0.15">
      <c r="A259" s="29" t="s">
        <v>220</v>
      </c>
      <c r="B259" s="30">
        <v>32.341033884948779</v>
      </c>
      <c r="C259" s="31">
        <v>7.1209999999999996E-2</v>
      </c>
      <c r="D259" s="31">
        <v>1.1509999999999999E-2</v>
      </c>
      <c r="E259" s="31">
        <v>0.14566000000000001</v>
      </c>
      <c r="F259" s="31">
        <v>2.7875E-3</v>
      </c>
      <c r="G259" s="31">
        <v>2.7400000000000002E-3</v>
      </c>
      <c r="H259" s="31">
        <v>3.2339999999999994E-2</v>
      </c>
      <c r="I259" s="31">
        <v>5.0000000000000012E-4</v>
      </c>
      <c r="J259" s="31">
        <v>4.3200000000000001E-3</v>
      </c>
      <c r="K259" s="31">
        <v>8.8399999999999989E-3</v>
      </c>
      <c r="L259" s="31">
        <v>8.2200000000000016E-3</v>
      </c>
      <c r="M259" s="31">
        <v>5.2300000000000003E-3</v>
      </c>
      <c r="N259" s="31">
        <v>2.606E-2</v>
      </c>
      <c r="O259" s="31">
        <v>8.0600000000000012E-3</v>
      </c>
      <c r="P259" s="31">
        <v>0</v>
      </c>
      <c r="Q259" s="32">
        <v>9.970839999999999</v>
      </c>
      <c r="R259" s="32">
        <v>1.7996799999999999</v>
      </c>
      <c r="S259" s="32">
        <v>38.888899999999992</v>
      </c>
      <c r="T259" s="32">
        <v>41.241560000000007</v>
      </c>
      <c r="U259" s="32">
        <v>1.9389700000000001</v>
      </c>
      <c r="V259" s="32">
        <v>2.1679700000000004</v>
      </c>
      <c r="W259" s="33">
        <v>1.0317777777777779</v>
      </c>
      <c r="X259" s="33">
        <v>-3.331471985714284</v>
      </c>
    </row>
    <row r="260" spans="1:24" x14ac:dyDescent="0.15">
      <c r="A260" s="29" t="s">
        <v>221</v>
      </c>
      <c r="B260" s="30">
        <v>32.439219070133966</v>
      </c>
      <c r="C260" s="31">
        <v>5.6889999999999996E-2</v>
      </c>
      <c r="D260" s="31">
        <v>1.128E-2</v>
      </c>
      <c r="E260" s="31">
        <v>0.14772999999999997</v>
      </c>
      <c r="F260" s="31">
        <v>3.4285714285714293E-3</v>
      </c>
      <c r="G260" s="31">
        <v>2.7400000000000002E-3</v>
      </c>
      <c r="H260" s="31">
        <v>3.2680000000000001E-2</v>
      </c>
      <c r="I260" s="31">
        <v>5.0000000000000012E-4</v>
      </c>
      <c r="J260" s="31">
        <v>4.0499999999999998E-3</v>
      </c>
      <c r="K260" s="31">
        <v>9.0399999999999994E-3</v>
      </c>
      <c r="L260" s="31">
        <v>8.1200000000000005E-3</v>
      </c>
      <c r="M260" s="31">
        <v>5.6400000000000009E-3</v>
      </c>
      <c r="N260" s="31">
        <v>2.8670000000000001E-2</v>
      </c>
      <c r="O260" s="31">
        <v>9.2200000000000008E-3</v>
      </c>
      <c r="P260" s="31">
        <v>0</v>
      </c>
      <c r="Q260" s="32">
        <v>10.339769999999998</v>
      </c>
      <c r="R260" s="32">
        <v>1.8524400000000001</v>
      </c>
      <c r="S260" s="32">
        <v>40.434380000000004</v>
      </c>
      <c r="T260" s="32">
        <v>40.442770000000003</v>
      </c>
      <c r="U260" s="32">
        <v>1.98933</v>
      </c>
      <c r="V260" s="32">
        <v>2.3212999999999999</v>
      </c>
      <c r="W260" s="33">
        <v>0.92488888888888887</v>
      </c>
      <c r="X260" s="33">
        <v>-3.332365020000001</v>
      </c>
    </row>
    <row r="261" spans="1:24" x14ac:dyDescent="0.15">
      <c r="A261" s="29" t="s">
        <v>222</v>
      </c>
      <c r="B261" s="30">
        <v>32.537404255319153</v>
      </c>
      <c r="C261" s="31">
        <v>5.5580000000000004E-2</v>
      </c>
      <c r="D261" s="31">
        <v>1.3189999999999999E-2</v>
      </c>
      <c r="E261" s="31">
        <v>0.19392000000000001</v>
      </c>
      <c r="F261" s="31">
        <v>4.6599999999999992E-3</v>
      </c>
      <c r="G261" s="31">
        <v>4.4699999999999991E-3</v>
      </c>
      <c r="H261" s="31">
        <v>3.4169999999999999E-2</v>
      </c>
      <c r="I261" s="31">
        <v>6.0999999999999997E-4</v>
      </c>
      <c r="J261" s="31">
        <v>4.2900000000000004E-3</v>
      </c>
      <c r="K261" s="31">
        <v>8.5200000000000015E-3</v>
      </c>
      <c r="L261" s="31">
        <v>8.0600000000000012E-3</v>
      </c>
      <c r="M261" s="31">
        <v>6.5200000000000006E-3</v>
      </c>
      <c r="N261" s="31">
        <v>2.7859999999999996E-2</v>
      </c>
      <c r="O261" s="31">
        <v>9.4900000000000002E-3</v>
      </c>
      <c r="P261" s="31">
        <v>0</v>
      </c>
      <c r="Q261" s="32">
        <v>11.077300000000001</v>
      </c>
      <c r="R261" s="32">
        <v>2.2418400000000003</v>
      </c>
      <c r="S261" s="32">
        <v>42.265190000000004</v>
      </c>
      <c r="T261" s="32">
        <v>35.139559999999996</v>
      </c>
      <c r="U261" s="32">
        <v>2.1928399999999999</v>
      </c>
      <c r="V261" s="32">
        <v>2.6402999999999999</v>
      </c>
      <c r="W261" s="33">
        <v>0.87566666666666659</v>
      </c>
      <c r="X261" s="33">
        <v>-3.5107409199999999</v>
      </c>
    </row>
    <row r="262" spans="1:24" x14ac:dyDescent="0.15">
      <c r="A262" s="29" t="s">
        <v>223</v>
      </c>
      <c r="B262" s="30">
        <v>32.591671428571431</v>
      </c>
      <c r="C262" s="31">
        <v>5.8620929734361615E-2</v>
      </c>
      <c r="D262" s="31">
        <v>0.19378392394122732</v>
      </c>
      <c r="E262" s="31">
        <v>0.32372965327932646</v>
      </c>
      <c r="F262" s="31">
        <v>6.5865610859728524E-3</v>
      </c>
      <c r="G262" s="31">
        <v>6.4825190010857755E-3</v>
      </c>
      <c r="H262" s="31">
        <v>4.2878839984601555E-2</v>
      </c>
      <c r="I262" s="31">
        <v>1.1943699731903489E-3</v>
      </c>
      <c r="J262" s="31">
        <v>3.3420773313116003E-3</v>
      </c>
      <c r="K262" s="31">
        <v>7.2742334588488415E-3</v>
      </c>
      <c r="L262" s="31">
        <v>1.1269831373104717E-2</v>
      </c>
      <c r="M262" s="31">
        <v>1.1779262124367747E-2</v>
      </c>
      <c r="N262" s="31">
        <v>2.0027206823027718E-2</v>
      </c>
      <c r="O262" s="31">
        <v>1.113554148767805E-2</v>
      </c>
      <c r="P262" s="31">
        <v>0</v>
      </c>
      <c r="Q262" s="32">
        <v>14.264576801556476</v>
      </c>
      <c r="R262" s="32">
        <v>4.7211346783387187</v>
      </c>
      <c r="S262" s="32">
        <v>53.973499768258293</v>
      </c>
      <c r="T262" s="32">
        <v>15.488724222865461</v>
      </c>
      <c r="U262" s="32">
        <v>3.3601145214648627</v>
      </c>
      <c r="V262" s="32">
        <v>4.5327345245692401</v>
      </c>
      <c r="W262" s="33">
        <v>0.44244444444444447</v>
      </c>
      <c r="X262" s="33">
        <v>-3.6197064999999995</v>
      </c>
    </row>
    <row r="263" spans="1:24" x14ac:dyDescent="0.15">
      <c r="A263" s="29" t="s">
        <v>224</v>
      </c>
      <c r="B263" s="30">
        <v>32.708348847926267</v>
      </c>
      <c r="C263" s="31">
        <v>6.3609682947729229E-2</v>
      </c>
      <c r="D263" s="31">
        <v>0.15968193604148664</v>
      </c>
      <c r="E263" s="31">
        <v>0.29404875681013631</v>
      </c>
      <c r="F263" s="31">
        <v>6.6452230122818366E-3</v>
      </c>
      <c r="G263" s="31">
        <v>5.452551574375678E-3</v>
      </c>
      <c r="H263" s="31">
        <v>4.0325407416912623E-2</v>
      </c>
      <c r="I263" s="31">
        <v>9.6514745308311006E-4</v>
      </c>
      <c r="J263" s="31">
        <v>2.9401819560272938E-3</v>
      </c>
      <c r="K263" s="31">
        <v>6.798171059709519E-3</v>
      </c>
      <c r="L263" s="31">
        <v>1.3259940484625195E-2</v>
      </c>
      <c r="M263" s="31">
        <v>9.9024099970246946E-3</v>
      </c>
      <c r="N263" s="31">
        <v>2.2362217484008524E-2</v>
      </c>
      <c r="O263" s="31">
        <v>1.3765543748586935E-2</v>
      </c>
      <c r="P263" s="31">
        <v>0</v>
      </c>
      <c r="Q263" s="32">
        <v>13.160366377200994</v>
      </c>
      <c r="R263" s="32">
        <v>3.7068940677522924</v>
      </c>
      <c r="S263" s="32">
        <v>55.871610082714618</v>
      </c>
      <c r="T263" s="32">
        <v>18.242047697811973</v>
      </c>
      <c r="U263" s="32">
        <v>2.952161403431516</v>
      </c>
      <c r="V263" s="32">
        <v>3.8852010210593493</v>
      </c>
      <c r="W263" s="33">
        <v>0.50922222222222224</v>
      </c>
      <c r="X263" s="33">
        <v>-3.357025084</v>
      </c>
    </row>
    <row r="264" spans="1:24" x14ac:dyDescent="0.15">
      <c r="A264" s="29" t="s">
        <v>225</v>
      </c>
      <c r="B264" s="30">
        <v>32.82502626728111</v>
      </c>
      <c r="C264" s="31">
        <v>6.0222257926306789E-2</v>
      </c>
      <c r="D264" s="31">
        <v>0.17648401037165079</v>
      </c>
      <c r="E264" s="31">
        <v>0.30037760166037614</v>
      </c>
      <c r="F264" s="31">
        <v>6.9774841628959285E-3</v>
      </c>
      <c r="G264" s="31">
        <v>6.0124502352515386E-3</v>
      </c>
      <c r="H264" s="31">
        <v>4.1949249326318494E-2</v>
      </c>
      <c r="I264" s="31">
        <v>9.6514745308311006E-4</v>
      </c>
      <c r="J264" s="31">
        <v>3.031842304776346E-3</v>
      </c>
      <c r="K264" s="31">
        <v>7.4932221624529312E-3</v>
      </c>
      <c r="L264" s="31">
        <v>1.1694686127249542E-2</v>
      </c>
      <c r="M264" s="31">
        <v>1.0420559357334127E-2</v>
      </c>
      <c r="N264" s="31">
        <v>2.1763496801705761E-2</v>
      </c>
      <c r="O264" s="31">
        <v>1.3159337553696589E-2</v>
      </c>
      <c r="P264" s="31">
        <v>0</v>
      </c>
      <c r="Q264" s="32">
        <v>13.543591749962758</v>
      </c>
      <c r="R264" s="32">
        <v>3.8812737284678849</v>
      </c>
      <c r="S264" s="32">
        <v>55.343251685904974</v>
      </c>
      <c r="T264" s="32">
        <v>17.200863612664278</v>
      </c>
      <c r="U264" s="32">
        <v>3.0033086547512244</v>
      </c>
      <c r="V264" s="32">
        <v>4.1116847479259739</v>
      </c>
      <c r="W264" s="33">
        <v>0.29888888888888887</v>
      </c>
      <c r="X264" s="33">
        <v>-3.8736361800000019</v>
      </c>
    </row>
    <row r="265" spans="1:24" x14ac:dyDescent="0.15">
      <c r="A265" s="29" t="s">
        <v>226</v>
      </c>
      <c r="B265" s="30">
        <v>32.941703686635947</v>
      </c>
      <c r="C265" s="31">
        <v>6.1491002570694106E-2</v>
      </c>
      <c r="D265" s="31">
        <v>0.17723076923076922</v>
      </c>
      <c r="E265" s="31">
        <v>0.28665740516022137</v>
      </c>
      <c r="F265" s="31">
        <v>5.6010407239819003E-3</v>
      </c>
      <c r="G265" s="31">
        <v>5.3957003257328979E-3</v>
      </c>
      <c r="H265" s="31">
        <v>3.8583895803926599E-2</v>
      </c>
      <c r="I265" s="31">
        <v>9.6514745308311006E-4</v>
      </c>
      <c r="J265" s="31">
        <v>3.0177407126611082E-3</v>
      </c>
      <c r="K265" s="31">
        <v>7.4551371705217848E-3</v>
      </c>
      <c r="L265" s="31">
        <v>2.0001714609607483E-2</v>
      </c>
      <c r="M265" s="31">
        <v>9.7181791133591176E-3</v>
      </c>
      <c r="N265" s="31">
        <v>2.2002985074626866E-2</v>
      </c>
      <c r="O265" s="31">
        <v>1.1984230160524533E-2</v>
      </c>
      <c r="P265" s="31">
        <v>0</v>
      </c>
      <c r="Q265" s="32">
        <v>13.272739435118325</v>
      </c>
      <c r="R265" s="32">
        <v>3.8167580768305549</v>
      </c>
      <c r="S265" s="32">
        <v>54.674063864768854</v>
      </c>
      <c r="T265" s="32">
        <v>19.070571906294379</v>
      </c>
      <c r="U265" s="32">
        <v>2.8430501076132972</v>
      </c>
      <c r="V265" s="32">
        <v>3.9609301212507981</v>
      </c>
      <c r="W265" s="33">
        <v>0.44166666666666671</v>
      </c>
      <c r="X265" s="33">
        <v>-3.5656009399999959</v>
      </c>
    </row>
    <row r="266" spans="1:24" x14ac:dyDescent="0.15">
      <c r="A266" s="29" t="s">
        <v>227</v>
      </c>
      <c r="B266" s="30">
        <v>33.058381105990783</v>
      </c>
      <c r="C266" s="31">
        <v>6.3856041131105407E-2</v>
      </c>
      <c r="D266" s="31">
        <v>0.18432497839239415</v>
      </c>
      <c r="E266" s="31">
        <v>0.27751060749345136</v>
      </c>
      <c r="F266" s="31">
        <v>5.1739819004524897E-3</v>
      </c>
      <c r="G266" s="31">
        <v>5.5128483532392311E-3</v>
      </c>
      <c r="H266" s="31">
        <v>3.8678031566790706E-2</v>
      </c>
      <c r="I266" s="31">
        <v>8.4450402144772136E-4</v>
      </c>
      <c r="J266" s="31">
        <v>2.9542835481425321E-3</v>
      </c>
      <c r="K266" s="31">
        <v>7.6646046261430846E-3</v>
      </c>
      <c r="L266" s="31">
        <v>1.9342071701856315E-2</v>
      </c>
      <c r="M266" s="31">
        <v>9.4418327878607582E-3</v>
      </c>
      <c r="N266" s="31">
        <v>2.3190447761194027E-2</v>
      </c>
      <c r="O266" s="31">
        <v>1.2599762604567038E-2</v>
      </c>
      <c r="P266" s="31">
        <v>0</v>
      </c>
      <c r="Q266" s="32">
        <v>12.654662199704759</v>
      </c>
      <c r="R266" s="32">
        <v>3.4158157625009147</v>
      </c>
      <c r="S266" s="32">
        <v>53.843860407004584</v>
      </c>
      <c r="T266" s="32">
        <v>20.542682440085574</v>
      </c>
      <c r="U266" s="32">
        <v>2.7242887889513354</v>
      </c>
      <c r="V266" s="32">
        <v>3.7444416081684748</v>
      </c>
      <c r="W266" s="33">
        <v>0.53355555555555556</v>
      </c>
      <c r="X266" s="33">
        <v>-3.4700462714285756</v>
      </c>
    </row>
    <row r="267" spans="1:24" x14ac:dyDescent="0.15">
      <c r="A267" s="29" t="s">
        <v>228</v>
      </c>
      <c r="B267" s="30">
        <v>33.175058525345626</v>
      </c>
      <c r="C267" s="31">
        <v>5.8608611825192815E-2</v>
      </c>
      <c r="D267" s="31">
        <v>0.18494727744165948</v>
      </c>
      <c r="E267" s="31">
        <v>0.29367918922764064</v>
      </c>
      <c r="F267" s="31">
        <v>6.3214091790562378E-3</v>
      </c>
      <c r="G267" s="31">
        <v>5.4636264929424552E-3</v>
      </c>
      <c r="H267" s="31">
        <v>3.8195585782112157E-2</v>
      </c>
      <c r="I267" s="31">
        <v>9.6514745308311006E-4</v>
      </c>
      <c r="J267" s="31">
        <v>2.9683851402577716E-3</v>
      </c>
      <c r="K267" s="31">
        <v>6.8648197955890247E-3</v>
      </c>
      <c r="L267" s="31">
        <v>1.0487204194416892E-2</v>
      </c>
      <c r="M267" s="31">
        <v>1.0144213031835762E-2</v>
      </c>
      <c r="N267" s="31">
        <v>2.087539445628998E-2</v>
      </c>
      <c r="O267" s="31">
        <v>1.2245365136784992E-2</v>
      </c>
      <c r="P267" s="31">
        <v>1.8824976930175331E-5</v>
      </c>
      <c r="Q267" s="32">
        <v>13.337511782172633</v>
      </c>
      <c r="R267" s="32">
        <v>3.9498681141685745</v>
      </c>
      <c r="S267" s="32">
        <v>55.566237120101562</v>
      </c>
      <c r="T267" s="32">
        <v>17.322404307725495</v>
      </c>
      <c r="U267" s="32">
        <v>2.9336069444979609</v>
      </c>
      <c r="V267" s="32">
        <v>3.9595006381620932</v>
      </c>
      <c r="W267" s="33">
        <v>0.50988888888888895</v>
      </c>
      <c r="X267" s="33">
        <v>-3.586941379999999</v>
      </c>
    </row>
    <row r="268" spans="1:24" x14ac:dyDescent="0.15">
      <c r="A268" s="29" t="s">
        <v>229</v>
      </c>
      <c r="B268" s="30">
        <v>33.291735944700463</v>
      </c>
      <c r="C268" s="31">
        <v>5.9354706927175843E-2</v>
      </c>
      <c r="D268" s="31">
        <v>0.17388215200683177</v>
      </c>
      <c r="E268" s="31">
        <v>0.30210540353567766</v>
      </c>
      <c r="F268" s="31">
        <v>5.8527150642273254E-3</v>
      </c>
      <c r="G268" s="31">
        <v>5.7743919485602462E-3</v>
      </c>
      <c r="H268" s="31">
        <v>4.0279657988769792E-2</v>
      </c>
      <c r="I268" s="31">
        <v>1.0588235294117646E-3</v>
      </c>
      <c r="J268" s="31">
        <v>3.0531013615733731E-3</v>
      </c>
      <c r="K268" s="31">
        <v>7.3576840981856998E-3</v>
      </c>
      <c r="L268" s="31">
        <v>1.6226307561114272E-2</v>
      </c>
      <c r="M268" s="31">
        <v>1.0116214605067068E-2</v>
      </c>
      <c r="N268" s="31">
        <v>2.1011249999999999E-2</v>
      </c>
      <c r="O268" s="31">
        <v>1.3097457627118647E-2</v>
      </c>
      <c r="P268" s="31">
        <v>0</v>
      </c>
      <c r="Q268" s="32">
        <v>13.255852253314941</v>
      </c>
      <c r="R268" s="32">
        <v>4.1096642130824099</v>
      </c>
      <c r="S268" s="32">
        <v>55.963553379355332</v>
      </c>
      <c r="T268" s="32">
        <v>17.646294191835381</v>
      </c>
      <c r="U268" s="32">
        <v>2.8526928054254181</v>
      </c>
      <c r="V268" s="32">
        <v>3.9743192457515151</v>
      </c>
      <c r="W268" s="33">
        <v>0.49588888888888888</v>
      </c>
      <c r="X268" s="33">
        <v>-3.5051363600000016</v>
      </c>
    </row>
    <row r="269" spans="1:24" x14ac:dyDescent="0.15">
      <c r="A269" s="29" t="s">
        <v>230</v>
      </c>
      <c r="B269" s="30">
        <v>33.408413364055299</v>
      </c>
      <c r="C269" s="31">
        <v>6.1658792184724691E-2</v>
      </c>
      <c r="D269" s="31">
        <v>0.17584970111016224</v>
      </c>
      <c r="E269" s="31">
        <v>0.27753669453311891</v>
      </c>
      <c r="F269" s="31">
        <v>5.0705466621253402E-3</v>
      </c>
      <c r="G269" s="31">
        <v>5.875978473581212E-3</v>
      </c>
      <c r="H269" s="31">
        <v>4.0033907605921397E-2</v>
      </c>
      <c r="I269" s="31">
        <v>9.6256684491978614E-4</v>
      </c>
      <c r="J269" s="31">
        <v>3.0390317700453853E-3</v>
      </c>
      <c r="K269" s="31">
        <v>8.0849519743863407E-3</v>
      </c>
      <c r="L269" s="31">
        <v>1.2615477544059126E-2</v>
      </c>
      <c r="M269" s="31">
        <v>9.1934128166915076E-3</v>
      </c>
      <c r="N269" s="31">
        <v>2.1079500000000001E-2</v>
      </c>
      <c r="O269" s="31">
        <v>1.2808474576271189E-2</v>
      </c>
      <c r="P269" s="31">
        <v>0</v>
      </c>
      <c r="Q269" s="32">
        <v>12.493939999592728</v>
      </c>
      <c r="R269" s="32">
        <v>3.6996712064873964</v>
      </c>
      <c r="S269" s="32">
        <v>55.250937321197917</v>
      </c>
      <c r="T269" s="32">
        <v>20.221513574510457</v>
      </c>
      <c r="U269" s="32">
        <v>2.7843214952658659</v>
      </c>
      <c r="V269" s="32">
        <v>3.6263016395963366</v>
      </c>
      <c r="W269" s="33">
        <v>0.61322222222222222</v>
      </c>
      <c r="X269" s="33">
        <v>-3.2929483342857147</v>
      </c>
    </row>
    <row r="270" spans="1:24" x14ac:dyDescent="0.15">
      <c r="A270" s="29" t="s">
        <v>231</v>
      </c>
      <c r="B270" s="30">
        <v>33.525090783410143</v>
      </c>
      <c r="C270" s="31">
        <v>6.8313676731793962E-2</v>
      </c>
      <c r="D270" s="31">
        <v>0.19072929120409907</v>
      </c>
      <c r="E270" s="31">
        <v>0.27750218791935127</v>
      </c>
      <c r="F270" s="31">
        <v>6.0694822888283382E-3</v>
      </c>
      <c r="G270" s="31">
        <v>5.5058708414872795E-3</v>
      </c>
      <c r="H270" s="31">
        <v>4.1847779479326191E-2</v>
      </c>
      <c r="I270" s="31">
        <v>1.0467914438502671E-3</v>
      </c>
      <c r="J270" s="31">
        <v>3.1726928895612705E-3</v>
      </c>
      <c r="K270" s="31">
        <v>7.5843649946638206E-3</v>
      </c>
      <c r="L270" s="31">
        <v>1.1404391699829451E-2</v>
      </c>
      <c r="M270" s="31">
        <v>1.0047004470938897E-2</v>
      </c>
      <c r="N270" s="31">
        <v>2.0923500000000001E-2</v>
      </c>
      <c r="O270" s="31">
        <v>1.0776271186440685E-2</v>
      </c>
      <c r="P270" s="31">
        <v>0</v>
      </c>
      <c r="Q270" s="32">
        <v>13.205107961363344</v>
      </c>
      <c r="R270" s="32">
        <v>4.1340950137281141</v>
      </c>
      <c r="S270" s="32">
        <v>53.114294537483872</v>
      </c>
      <c r="T270" s="32">
        <v>19.528672021241285</v>
      </c>
      <c r="U270" s="32">
        <v>2.8074817350850187</v>
      </c>
      <c r="V270" s="32">
        <v>3.916096903617476</v>
      </c>
      <c r="W270" s="33">
        <v>0.4502222222222223</v>
      </c>
      <c r="X270" s="33">
        <v>-3.3941229599999971</v>
      </c>
    </row>
    <row r="271" spans="1:24" x14ac:dyDescent="0.15">
      <c r="A271" s="29" t="s">
        <v>232</v>
      </c>
      <c r="B271" s="30">
        <v>33.641768202764979</v>
      </c>
      <c r="C271" s="31">
        <v>6.1487211367673184E-2</v>
      </c>
      <c r="D271" s="31">
        <v>0.13686763450042697</v>
      </c>
      <c r="E271" s="31">
        <v>0.29084474524283827</v>
      </c>
      <c r="F271" s="31">
        <v>6.4291553133514982E-3</v>
      </c>
      <c r="G271" s="31">
        <v>5.6223091976516631E-3</v>
      </c>
      <c r="H271" s="31">
        <v>3.9636026033690659E-2</v>
      </c>
      <c r="I271" s="31">
        <v>9.6256684491978614E-4</v>
      </c>
      <c r="J271" s="31">
        <v>3.1375189107413011E-3</v>
      </c>
      <c r="K271" s="31">
        <v>7.4426894343649977E-3</v>
      </c>
      <c r="L271" s="31">
        <v>1.7504675952245596E-2</v>
      </c>
      <c r="M271" s="31">
        <v>9.8393740685543962E-3</v>
      </c>
      <c r="N271" s="31">
        <v>2.1976499999999996E-2</v>
      </c>
      <c r="O271" s="31">
        <v>1.1941525423728816E-2</v>
      </c>
      <c r="P271" s="31">
        <v>9.7019657577679144E-5</v>
      </c>
      <c r="Q271" s="32">
        <v>13.397079247087433</v>
      </c>
      <c r="R271" s="32">
        <v>3.8189485920059614</v>
      </c>
      <c r="S271" s="32">
        <v>54.621613764432986</v>
      </c>
      <c r="T271" s="32">
        <v>18.846809293063394</v>
      </c>
      <c r="U271" s="32">
        <v>2.8959492022409332</v>
      </c>
      <c r="V271" s="32">
        <v>3.990802485306848</v>
      </c>
      <c r="W271" s="33">
        <v>0.4356666666666667</v>
      </c>
      <c r="X271" s="33">
        <v>-3.522165600000001</v>
      </c>
    </row>
    <row r="272" spans="1:24" x14ac:dyDescent="0.15">
      <c r="A272" s="29" t="s">
        <v>233</v>
      </c>
      <c r="B272" s="30">
        <v>33.758445622119815</v>
      </c>
      <c r="C272" s="31">
        <v>6.021261101243338E-2</v>
      </c>
      <c r="D272" s="31">
        <v>0.1480580700256191</v>
      </c>
      <c r="E272" s="31">
        <v>0.28781966543587528</v>
      </c>
      <c r="F272" s="31">
        <v>6.4235354223433254E-3</v>
      </c>
      <c r="G272" s="31">
        <v>5.713796477495107E-3</v>
      </c>
      <c r="H272" s="31">
        <v>3.9565811638591117E-2</v>
      </c>
      <c r="I272" s="31">
        <v>9.6256684491978614E-4</v>
      </c>
      <c r="J272" s="31">
        <v>2.8772314674735244E-3</v>
      </c>
      <c r="K272" s="31">
        <v>6.9893276414087543E-3</v>
      </c>
      <c r="L272" s="31">
        <v>1.1718376918703812E-2</v>
      </c>
      <c r="M272" s="31">
        <v>9.4356482861400939E-3</v>
      </c>
      <c r="N272" s="31">
        <v>2.1186749999999997E-2</v>
      </c>
      <c r="O272" s="31">
        <v>1.3992372881355936E-2</v>
      </c>
      <c r="P272" s="31">
        <v>2.9105897273303737E-4</v>
      </c>
      <c r="Q272" s="32">
        <v>12.556225813434139</v>
      </c>
      <c r="R272" s="32">
        <v>3.6990440765601074</v>
      </c>
      <c r="S272" s="32">
        <v>55.283296584007019</v>
      </c>
      <c r="T272" s="32">
        <v>18.153446398937941</v>
      </c>
      <c r="U272" s="32">
        <v>2.8002230285358589</v>
      </c>
      <c r="V272" s="32">
        <v>3.6748884772654788</v>
      </c>
      <c r="W272" s="33">
        <v>0.501</v>
      </c>
      <c r="X272" s="33">
        <v>-3.7483958199999989</v>
      </c>
    </row>
    <row r="273" spans="1:24" x14ac:dyDescent="0.15">
      <c r="A273" s="29" t="s">
        <v>234</v>
      </c>
      <c r="B273" s="30">
        <v>33.875123041474659</v>
      </c>
      <c r="C273" s="31">
        <v>6.1781349911190053E-2</v>
      </c>
      <c r="D273" s="31">
        <v>0.1743740392826644</v>
      </c>
      <c r="E273" s="31">
        <v>0.27860639955991573</v>
      </c>
      <c r="F273" s="31">
        <v>6.0441927792915535E-3</v>
      </c>
      <c r="G273" s="31">
        <v>5.5516144814090011E-3</v>
      </c>
      <c r="H273" s="31">
        <v>3.9249846860643187E-2</v>
      </c>
      <c r="I273" s="31">
        <v>9.6256684491978614E-4</v>
      </c>
      <c r="J273" s="31">
        <v>3.0601361573373682E-3</v>
      </c>
      <c r="K273" s="31">
        <v>7.8393810032017074E-3</v>
      </c>
      <c r="L273" s="31">
        <v>1.1292254121660034E-2</v>
      </c>
      <c r="M273" s="31">
        <v>8.5935916542473952E-3</v>
      </c>
      <c r="N273" s="31">
        <v>2.1176999999999998E-2</v>
      </c>
      <c r="O273" s="31">
        <v>1.4635593220338985E-2</v>
      </c>
      <c r="P273" s="31">
        <v>1.9403931515535829E-4</v>
      </c>
      <c r="Q273" s="32">
        <v>12.138042719952095</v>
      </c>
      <c r="R273" s="32">
        <v>3.8543950661570943</v>
      </c>
      <c r="S273" s="32">
        <v>54.949260888710732</v>
      </c>
      <c r="T273" s="32">
        <v>18.381262130766679</v>
      </c>
      <c r="U273" s="32">
        <v>2.7983845788421853</v>
      </c>
      <c r="V273" s="32">
        <v>3.4582832219007695</v>
      </c>
      <c r="W273" s="33">
        <v>0.70333333333333337</v>
      </c>
      <c r="X273" s="33">
        <v>-3.6489148799999995</v>
      </c>
    </row>
    <row r="274" spans="1:24" x14ac:dyDescent="0.15">
      <c r="A274" s="29" t="s">
        <v>235</v>
      </c>
      <c r="B274" s="30">
        <v>33.991800460829495</v>
      </c>
      <c r="C274" s="31">
        <v>7.2529662522202484E-2</v>
      </c>
      <c r="D274" s="31">
        <v>0.14424594363791626</v>
      </c>
      <c r="E274" s="31">
        <v>0.22519016144761084</v>
      </c>
      <c r="F274" s="31">
        <v>5.247573228882833E-3</v>
      </c>
      <c r="G274" s="31">
        <v>4.1917808219178081E-3</v>
      </c>
      <c r="H274" s="31">
        <v>4.0958397141398678E-2</v>
      </c>
      <c r="I274" s="31">
        <v>7.2192513368983947E-4</v>
      </c>
      <c r="J274" s="31">
        <v>2.9124054462934938E-3</v>
      </c>
      <c r="K274" s="31">
        <v>7.7260405549626496E-3</v>
      </c>
      <c r="L274" s="31">
        <v>1.7190690733371237E-2</v>
      </c>
      <c r="M274" s="31">
        <v>7.486229508196723E-3</v>
      </c>
      <c r="N274" s="31">
        <v>2.2775999999999998E-2</v>
      </c>
      <c r="O274" s="31">
        <v>1.0580508474576275E-2</v>
      </c>
      <c r="P274" s="31">
        <v>7.7615726062143316E-4</v>
      </c>
      <c r="Q274" s="32">
        <v>11.29747226581974</v>
      </c>
      <c r="R274" s="32">
        <v>2.9647567312600893</v>
      </c>
      <c r="S274" s="32">
        <v>50.787397259732664</v>
      </c>
      <c r="T274" s="32">
        <v>28.472039296382345</v>
      </c>
      <c r="U274" s="32">
        <v>2.4091087049110511</v>
      </c>
      <c r="V274" s="32">
        <v>2.9909446614879953</v>
      </c>
      <c r="W274" s="33">
        <v>0.67377777777777781</v>
      </c>
      <c r="X274" s="33">
        <v>-3.3335505999999988</v>
      </c>
    </row>
    <row r="275" spans="1:24" x14ac:dyDescent="0.15">
      <c r="A275" s="29" t="s">
        <v>236</v>
      </c>
      <c r="B275" s="30">
        <v>34.108477880184331</v>
      </c>
      <c r="C275" s="31">
        <v>6.1852101675660347E-2</v>
      </c>
      <c r="D275" s="31">
        <v>0.16253661899017749</v>
      </c>
      <c r="E275" s="31">
        <v>0.26982235637587215</v>
      </c>
      <c r="F275" s="31">
        <v>6.2052519264967397E-3</v>
      </c>
      <c r="G275" s="31">
        <v>4.8060486522024997E-3</v>
      </c>
      <c r="H275" s="31">
        <v>4.0921931357919432E-2</v>
      </c>
      <c r="I275" s="31">
        <v>8.3776595744680866E-4</v>
      </c>
      <c r="J275" s="31">
        <v>2.8082078313253016E-3</v>
      </c>
      <c r="K275" s="31">
        <v>7.6460960558089605E-3</v>
      </c>
      <c r="L275" s="31">
        <v>2.0460527435133987E-2</v>
      </c>
      <c r="M275" s="31">
        <v>8.045738045738049E-3</v>
      </c>
      <c r="N275" s="31">
        <v>2.088770053475936E-2</v>
      </c>
      <c r="O275" s="31">
        <v>1.4608292291833703E-2</v>
      </c>
      <c r="P275" s="31">
        <v>6.3366541353383462E-3</v>
      </c>
      <c r="Q275" s="32">
        <v>11.858037015592368</v>
      </c>
      <c r="R275" s="32">
        <v>3.3010908129242349</v>
      </c>
      <c r="S275" s="32">
        <v>54.922406319327969</v>
      </c>
      <c r="T275" s="32">
        <v>22.973913660613775</v>
      </c>
      <c r="U275" s="32">
        <v>2.6445582110974586</v>
      </c>
      <c r="V275" s="32">
        <v>3.2690969138820423</v>
      </c>
      <c r="W275" s="33">
        <v>0.5988888888888888</v>
      </c>
      <c r="X275" s="33">
        <v>-3.249913320000001</v>
      </c>
    </row>
    <row r="276" spans="1:24" x14ac:dyDescent="0.15">
      <c r="A276" s="29" t="s">
        <v>237</v>
      </c>
      <c r="B276" s="30">
        <v>34.225155299539175</v>
      </c>
      <c r="C276" s="31">
        <v>5.9120810849190582E-2</v>
      </c>
      <c r="D276" s="31">
        <v>0.16427365155953819</v>
      </c>
      <c r="E276" s="31">
        <v>0.30826760354297594</v>
      </c>
      <c r="F276" s="31">
        <v>5.4246072910492009E-3</v>
      </c>
      <c r="G276" s="31">
        <v>5.9349112426035503E-3</v>
      </c>
      <c r="H276" s="31">
        <v>4.0265116179919007E-2</v>
      </c>
      <c r="I276" s="31">
        <v>9.6941489361702146E-4</v>
      </c>
      <c r="J276" s="31">
        <v>3.0603162650602415E-3</v>
      </c>
      <c r="K276" s="31">
        <v>7.570110008049369E-3</v>
      </c>
      <c r="L276" s="31">
        <v>1.4195959166312213E-2</v>
      </c>
      <c r="M276" s="31">
        <v>9.6433917433917434E-3</v>
      </c>
      <c r="N276" s="31">
        <v>1.9684491978609629E-2</v>
      </c>
      <c r="O276" s="31">
        <v>1.6082350246249003E-2</v>
      </c>
      <c r="P276" s="31">
        <v>0</v>
      </c>
      <c r="Q276" s="32">
        <v>12.809945305454066</v>
      </c>
      <c r="R276" s="32">
        <v>3.8438668996665748</v>
      </c>
      <c r="S276" s="32">
        <v>56.288011491129751</v>
      </c>
      <c r="T276" s="32">
        <v>16.23905095198473</v>
      </c>
      <c r="U276" s="32">
        <v>2.9465475659747518</v>
      </c>
      <c r="V276" s="32">
        <v>3.737604342316633</v>
      </c>
      <c r="W276" s="33">
        <v>0.36488888888888893</v>
      </c>
      <c r="X276" s="33">
        <v>-3.5626138942857146</v>
      </c>
    </row>
    <row r="277" spans="1:24" x14ac:dyDescent="0.15">
      <c r="A277" s="29" t="s">
        <v>238</v>
      </c>
      <c r="B277" s="30">
        <v>34.341832718894011</v>
      </c>
      <c r="C277" s="31">
        <v>5.9206546435671699E-2</v>
      </c>
      <c r="D277" s="31">
        <v>0.15720144752714116</v>
      </c>
      <c r="E277" s="31">
        <v>0.30751645306546588</v>
      </c>
      <c r="F277" s="31">
        <v>6.0655838767042086E-3</v>
      </c>
      <c r="G277" s="31">
        <v>5.6079881656804732E-3</v>
      </c>
      <c r="H277" s="31">
        <v>3.8881112769132392E-2</v>
      </c>
      <c r="I277" s="31">
        <v>9.5744680851063847E-4</v>
      </c>
      <c r="J277" s="31">
        <v>2.9832831325301216E-3</v>
      </c>
      <c r="K277" s="31">
        <v>7.342151864770591E-3</v>
      </c>
      <c r="L277" s="31">
        <v>1.1857932794555513E-2</v>
      </c>
      <c r="M277" s="31">
        <v>9.8158004158004179E-3</v>
      </c>
      <c r="N277" s="31">
        <v>1.9337967914438509E-2</v>
      </c>
      <c r="O277" s="31">
        <v>1.4721681365250261E-2</v>
      </c>
      <c r="P277" s="31">
        <v>0</v>
      </c>
      <c r="Q277" s="32">
        <v>12.90379869828139</v>
      </c>
      <c r="R277" s="32">
        <v>3.7852906967699775</v>
      </c>
      <c r="S277" s="32">
        <v>57.190563725040349</v>
      </c>
      <c r="T277" s="32">
        <v>14.783605305662963</v>
      </c>
      <c r="U277" s="32">
        <v>2.8931160905542206</v>
      </c>
      <c r="V277" s="32">
        <v>3.7277916246769687</v>
      </c>
      <c r="W277" s="33">
        <v>0.48600000000000004</v>
      </c>
      <c r="X277" s="33">
        <v>-3.2932254828571459</v>
      </c>
    </row>
    <row r="278" spans="1:24" x14ac:dyDescent="0.15">
      <c r="A278" s="29" t="s">
        <v>239</v>
      </c>
      <c r="B278" s="30">
        <v>34.458510138248847</v>
      </c>
      <c r="C278" s="31">
        <v>5.9598480545299641E-2</v>
      </c>
      <c r="D278" s="31">
        <v>0.16328106151990354</v>
      </c>
      <c r="E278" s="31">
        <v>0.32321094561828895</v>
      </c>
      <c r="F278" s="31">
        <v>7.0332839359810335E-3</v>
      </c>
      <c r="G278" s="31">
        <v>5.7136094674556217E-3</v>
      </c>
      <c r="H278" s="31">
        <v>3.9936708590918787E-2</v>
      </c>
      <c r="I278" s="31">
        <v>1.0651595744680851E-3</v>
      </c>
      <c r="J278" s="31">
        <v>3.0182981927710847E-3</v>
      </c>
      <c r="K278" s="31">
        <v>7.6460960558089605E-3</v>
      </c>
      <c r="L278" s="31">
        <v>1.1119608677158659E-2</v>
      </c>
      <c r="M278" s="31">
        <v>1.0769795069795073E-2</v>
      </c>
      <c r="N278" s="31">
        <v>1.7624598930481284E-2</v>
      </c>
      <c r="O278" s="31">
        <v>1.4220879624327113E-2</v>
      </c>
      <c r="P278" s="31">
        <v>1.9172932330827072E-4</v>
      </c>
      <c r="Q278" s="32">
        <v>13.302285827546838</v>
      </c>
      <c r="R278" s="32">
        <v>4.0628820515745643</v>
      </c>
      <c r="S278" s="32">
        <v>56.652185338342022</v>
      </c>
      <c r="T278" s="32">
        <v>13.087992266653615</v>
      </c>
      <c r="U278" s="32">
        <v>3.101971196189937</v>
      </c>
      <c r="V278" s="32">
        <v>3.9407143070951758</v>
      </c>
      <c r="W278" s="33">
        <v>0.54044444444444439</v>
      </c>
      <c r="X278" s="33">
        <v>-3.248552597499998</v>
      </c>
    </row>
    <row r="279" spans="1:24" x14ac:dyDescent="0.15">
      <c r="A279" s="29" t="s">
        <v>240</v>
      </c>
      <c r="B279" s="30">
        <v>34.575187557603691</v>
      </c>
      <c r="C279" s="31">
        <v>6.5048814257313292E-2</v>
      </c>
      <c r="D279" s="31">
        <v>0.15360330863346547</v>
      </c>
      <c r="E279" s="31">
        <v>0.3048191399871345</v>
      </c>
      <c r="F279" s="31">
        <v>6.6342323651452286E-3</v>
      </c>
      <c r="G279" s="31">
        <v>5.1134122287968447E-3</v>
      </c>
      <c r="H279" s="31">
        <v>4.1191694734598175E-2</v>
      </c>
      <c r="I279" s="31">
        <v>9.5744680851063847E-4</v>
      </c>
      <c r="J279" s="31">
        <v>3.0883283132530125E-3</v>
      </c>
      <c r="K279" s="31">
        <v>6.8102495304534468E-3</v>
      </c>
      <c r="L279" s="31">
        <v>1.0907060825180774E-2</v>
      </c>
      <c r="M279" s="31">
        <v>1.0666349866349869E-2</v>
      </c>
      <c r="N279" s="31">
        <v>1.8895187165775401E-2</v>
      </c>
      <c r="O279" s="31">
        <v>1.2378307181307988E-2</v>
      </c>
      <c r="P279" s="31">
        <v>0</v>
      </c>
      <c r="Q279" s="32">
        <v>13.149356431790986</v>
      </c>
      <c r="R279" s="32">
        <v>3.9728930447453155</v>
      </c>
      <c r="S279" s="32">
        <v>54.34576564097619</v>
      </c>
      <c r="T279" s="32">
        <v>15.588884538201752</v>
      </c>
      <c r="U279" s="32">
        <v>2.9864607413528761</v>
      </c>
      <c r="V279" s="32">
        <v>3.8896793151272657</v>
      </c>
      <c r="W279" s="33">
        <v>0.63388888888888895</v>
      </c>
      <c r="X279" s="33">
        <v>-3.5260456800000028</v>
      </c>
    </row>
    <row r="280" spans="1:24" x14ac:dyDescent="0.15">
      <c r="A280" s="29" t="s">
        <v>241</v>
      </c>
      <c r="B280" s="30">
        <v>34.691864976958527</v>
      </c>
      <c r="C280" s="31">
        <v>6.002715847770522E-2</v>
      </c>
      <c r="D280" s="31">
        <v>0.16650697914871618</v>
      </c>
      <c r="E280" s="31">
        <v>0.30032361818991538</v>
      </c>
      <c r="F280" s="31">
        <v>5.9757972732661533E-3</v>
      </c>
      <c r="G280" s="31">
        <v>6.0732248520710061E-3</v>
      </c>
      <c r="H280" s="31">
        <v>4.0206471967597544E-2</v>
      </c>
      <c r="I280" s="31">
        <v>1.0292553191489362E-3</v>
      </c>
      <c r="J280" s="31">
        <v>3.2003765060240972E-3</v>
      </c>
      <c r="K280" s="31">
        <v>8.1115105983364643E-3</v>
      </c>
      <c r="L280" s="31">
        <v>1.0571458953636753E-2</v>
      </c>
      <c r="M280" s="31">
        <v>1.0459459459459463E-2</v>
      </c>
      <c r="N280" s="31">
        <v>1.513155080213904E-2</v>
      </c>
      <c r="O280" s="31">
        <v>1.2879108922231135E-2</v>
      </c>
      <c r="P280" s="31">
        <v>0</v>
      </c>
      <c r="Q280" s="32">
        <v>12.322170897726465</v>
      </c>
      <c r="R280" s="32">
        <v>4.0139797352305191</v>
      </c>
      <c r="S280" s="32">
        <v>53.476591150848385</v>
      </c>
      <c r="T280" s="32">
        <v>13.534079095492146</v>
      </c>
      <c r="U280" s="32">
        <v>2.9875022290604236</v>
      </c>
      <c r="V280" s="32">
        <v>3.6771331929796545</v>
      </c>
      <c r="W280" s="33">
        <v>0.72299999999999998</v>
      </c>
      <c r="X280" s="33">
        <v>-3.4346482399999978</v>
      </c>
    </row>
    <row r="281" spans="1:24" x14ac:dyDescent="0.15">
      <c r="A281" s="29" t="s">
        <v>242</v>
      </c>
      <c r="B281" s="30">
        <v>34.808542396313364</v>
      </c>
      <c r="C281" s="31">
        <v>5.7847024992899752E-2</v>
      </c>
      <c r="D281" s="31">
        <v>0.16464587282440118</v>
      </c>
      <c r="E281" s="31">
        <v>0.30272502350437924</v>
      </c>
      <c r="F281" s="31">
        <v>5.3622554831061053E-3</v>
      </c>
      <c r="G281" s="31">
        <v>6.0498732037193572E-3</v>
      </c>
      <c r="H281" s="31">
        <v>3.8611349392453649E-2</v>
      </c>
      <c r="I281" s="31">
        <v>1.0412234042553191E-3</v>
      </c>
      <c r="J281" s="31">
        <v>3.060316265060242E-3</v>
      </c>
      <c r="K281" s="31">
        <v>7.522618728199623E-3</v>
      </c>
      <c r="L281" s="31">
        <v>9.2066780093577206E-3</v>
      </c>
      <c r="M281" s="31">
        <v>9.4135135135135165E-3</v>
      </c>
      <c r="N281" s="31">
        <v>1.571871657754011E-2</v>
      </c>
      <c r="O281" s="31">
        <v>1.4948459512083387E-2</v>
      </c>
      <c r="P281" s="31">
        <v>0</v>
      </c>
      <c r="Q281" s="32">
        <v>11.674906468724981</v>
      </c>
      <c r="R281" s="32">
        <v>4.0563098207387194</v>
      </c>
      <c r="S281" s="32">
        <v>55.669819152175577</v>
      </c>
      <c r="T281" s="32">
        <v>13.476262542215261</v>
      </c>
      <c r="U281" s="32">
        <v>2.7703467819978904</v>
      </c>
      <c r="V281" s="32">
        <v>3.2753101583468855</v>
      </c>
      <c r="W281" s="33">
        <v>0.69433333333333325</v>
      </c>
      <c r="X281" s="33">
        <v>-3.4154634000000001</v>
      </c>
    </row>
    <row r="282" spans="1:24" x14ac:dyDescent="0.15">
      <c r="A282" s="29" t="s">
        <v>243</v>
      </c>
      <c r="B282" s="30">
        <v>34.925219815668207</v>
      </c>
      <c r="C282" s="31">
        <v>5.4545504027868494E-2</v>
      </c>
      <c r="D282" s="31">
        <v>0.17075000000000001</v>
      </c>
      <c r="E282" s="31">
        <v>0.34582069580731489</v>
      </c>
      <c r="F282" s="31">
        <v>7.0735135135135147E-3</v>
      </c>
      <c r="G282" s="31">
        <v>6.3584415584415572E-3</v>
      </c>
      <c r="H282" s="31">
        <v>3.8753704017630113E-2</v>
      </c>
      <c r="I282" s="31">
        <v>1.101315789473684E-3</v>
      </c>
      <c r="J282" s="31">
        <v>3.0532075471698113E-3</v>
      </c>
      <c r="K282" s="31">
        <v>6.5555555555555549E-3</v>
      </c>
      <c r="L282" s="31">
        <v>1.0319647108248143E-2</v>
      </c>
      <c r="M282" s="31">
        <v>1.108980797636632E-2</v>
      </c>
      <c r="N282" s="31">
        <v>1.63760539629005E-2</v>
      </c>
      <c r="O282" s="31">
        <v>1.5142938173567785E-2</v>
      </c>
      <c r="P282" s="31">
        <v>0</v>
      </c>
      <c r="Q282" s="32">
        <v>13.018184693192509</v>
      </c>
      <c r="R282" s="32">
        <v>4.2903119107263299</v>
      </c>
      <c r="S282" s="32">
        <v>57.140963863087876</v>
      </c>
      <c r="T282" s="32">
        <v>11.822066666666665</v>
      </c>
      <c r="U282" s="32">
        <v>3.2797353836331915</v>
      </c>
      <c r="V282" s="32">
        <v>3.990259848379011</v>
      </c>
      <c r="W282" s="33">
        <v>0.31388888888888888</v>
      </c>
      <c r="X282" s="33">
        <v>-3.4237624600000025</v>
      </c>
    </row>
    <row r="283" spans="1:24" x14ac:dyDescent="0.15">
      <c r="A283" s="29" t="s">
        <v>244</v>
      </c>
      <c r="B283" s="30">
        <v>35.041897235023043</v>
      </c>
      <c r="C283" s="31">
        <v>5.4545504027868508E-2</v>
      </c>
      <c r="D283" s="31">
        <v>0.167625</v>
      </c>
      <c r="E283" s="31">
        <v>0.34910347903657446</v>
      </c>
      <c r="F283" s="31">
        <v>6.6648648648648659E-3</v>
      </c>
      <c r="G283" s="31">
        <v>5.5207421150278296E-3</v>
      </c>
      <c r="H283" s="31">
        <v>3.9010196643498904E-2</v>
      </c>
      <c r="I283" s="31">
        <v>1.0776315789473682E-3</v>
      </c>
      <c r="J283" s="31">
        <v>3.0602264150943396E-3</v>
      </c>
      <c r="K283" s="31">
        <v>7.3957746478873227E-3</v>
      </c>
      <c r="L283" s="31">
        <v>9.8666433272650879E-3</v>
      </c>
      <c r="M283" s="31">
        <v>1.1032644017725256E-2</v>
      </c>
      <c r="N283" s="31">
        <v>1.6020910623946037E-2</v>
      </c>
      <c r="O283" s="31">
        <v>1.5713840045377205E-2</v>
      </c>
      <c r="P283" s="31">
        <v>0</v>
      </c>
      <c r="Q283" s="32">
        <v>12.710416115879248</v>
      </c>
      <c r="R283" s="32">
        <v>4.1386107249528594</v>
      </c>
      <c r="S283" s="32">
        <v>58.229948536330149</v>
      </c>
      <c r="T283" s="32">
        <v>10.923150236646382</v>
      </c>
      <c r="U283" s="32">
        <v>3.1993628678514225</v>
      </c>
      <c r="V283" s="32">
        <v>3.8015497529530156</v>
      </c>
      <c r="W283" s="33">
        <v>0.47777777777777775</v>
      </c>
      <c r="X283" s="33">
        <v>-3.2913008400000017</v>
      </c>
    </row>
    <row r="284" spans="1:24" x14ac:dyDescent="0.15">
      <c r="A284" s="29" t="s">
        <v>245</v>
      </c>
      <c r="B284" s="30">
        <v>35.15857465437788</v>
      </c>
      <c r="C284" s="31">
        <v>5.4858480296102755E-2</v>
      </c>
      <c r="D284" s="31">
        <v>0.15587499999999999</v>
      </c>
      <c r="E284" s="31">
        <v>0.34348399246704342</v>
      </c>
      <c r="F284" s="31">
        <v>7.2810810810810802E-3</v>
      </c>
      <c r="G284" s="31">
        <v>5.6115769944341375E-3</v>
      </c>
      <c r="H284" s="31">
        <v>3.8520528903203947E-2</v>
      </c>
      <c r="I284" s="31">
        <v>1.0657894736842105E-3</v>
      </c>
      <c r="J284" s="31">
        <v>3.0883018867924523E-3</v>
      </c>
      <c r="K284" s="31">
        <v>7.4881064162754295E-3</v>
      </c>
      <c r="L284" s="31">
        <v>1.0341744853661948E-2</v>
      </c>
      <c r="M284" s="31">
        <v>1.0632496307237812E-2</v>
      </c>
      <c r="N284" s="31">
        <v>1.5991315345699829E-2</v>
      </c>
      <c r="O284" s="31">
        <v>1.5367555303460014E-2</v>
      </c>
      <c r="P284" s="31">
        <v>0</v>
      </c>
      <c r="Q284" s="32">
        <v>12.764573553332557</v>
      </c>
      <c r="R284" s="32">
        <v>4.0700500581531402</v>
      </c>
      <c r="S284" s="32">
        <v>57.744790457405635</v>
      </c>
      <c r="T284" s="32">
        <v>11.520647329276537</v>
      </c>
      <c r="U284" s="32">
        <v>3.1537186910075561</v>
      </c>
      <c r="V284" s="32">
        <v>3.8517816178797566</v>
      </c>
      <c r="W284" s="33">
        <v>0.50522222222222224</v>
      </c>
      <c r="X284" s="33">
        <v>-3.5755013028571483</v>
      </c>
    </row>
    <row r="285" spans="1:24" x14ac:dyDescent="0.15">
      <c r="A285" s="29" t="s">
        <v>246</v>
      </c>
      <c r="B285" s="30">
        <v>35.275252073732723</v>
      </c>
      <c r="C285" s="31">
        <v>5.464565643370347E-2</v>
      </c>
      <c r="D285" s="31">
        <v>0.142875</v>
      </c>
      <c r="E285" s="31">
        <v>0.34601447120626422</v>
      </c>
      <c r="F285" s="31">
        <v>5.9837837837837839E-3</v>
      </c>
      <c r="G285" s="31">
        <v>5.122077922077921E-3</v>
      </c>
      <c r="H285" s="31">
        <v>3.8660433971859642E-2</v>
      </c>
      <c r="I285" s="31">
        <v>1.0657894736842105E-3</v>
      </c>
      <c r="J285" s="31">
        <v>3.0953207547169807E-3</v>
      </c>
      <c r="K285" s="31">
        <v>7.1280125195618141E-3</v>
      </c>
      <c r="L285" s="31">
        <v>1.0032376417868647E-2</v>
      </c>
      <c r="M285" s="31">
        <v>1.0735391432791726E-2</v>
      </c>
      <c r="N285" s="31">
        <v>1.6109696458684656E-2</v>
      </c>
      <c r="O285" s="31">
        <v>1.396369824163358E-2</v>
      </c>
      <c r="P285" s="31">
        <v>0</v>
      </c>
      <c r="Q285" s="32">
        <v>12.641580965187565</v>
      </c>
      <c r="R285" s="32">
        <v>4.0078000736377035</v>
      </c>
      <c r="S285" s="32">
        <v>57.90601110198601</v>
      </c>
      <c r="T285" s="32">
        <v>11.883489655172413</v>
      </c>
      <c r="U285" s="32">
        <v>3.0853802209172412</v>
      </c>
      <c r="V285" s="32">
        <v>3.8100121884114571</v>
      </c>
      <c r="W285" s="33">
        <v>0.63288888888888883</v>
      </c>
      <c r="X285" s="33">
        <v>-3.457574585714287</v>
      </c>
    </row>
    <row r="286" spans="1:24" x14ac:dyDescent="0.15">
      <c r="A286" s="29" t="s">
        <v>247</v>
      </c>
      <c r="B286" s="30">
        <v>35.391929493087559</v>
      </c>
      <c r="C286" s="31">
        <v>5.5609623339865022E-2</v>
      </c>
      <c r="D286" s="31">
        <v>0.15862499999999999</v>
      </c>
      <c r="E286" s="31">
        <v>0.34011002081474878</v>
      </c>
      <c r="F286" s="31">
        <v>6.8108108108108113E-3</v>
      </c>
      <c r="G286" s="31">
        <v>6.1397649969078538E-3</v>
      </c>
      <c r="H286" s="31">
        <v>3.9278348025088998E-2</v>
      </c>
      <c r="I286" s="31">
        <v>1.1131578947368419E-3</v>
      </c>
      <c r="J286" s="31">
        <v>3.2076226415094335E-3</v>
      </c>
      <c r="K286" s="31">
        <v>7.5989045383411565E-3</v>
      </c>
      <c r="L286" s="31">
        <v>1.0540624562386219E-2</v>
      </c>
      <c r="M286" s="31">
        <v>1.0541033973412111E-2</v>
      </c>
      <c r="N286" s="31">
        <v>1.6908768971332203E-2</v>
      </c>
      <c r="O286" s="31">
        <v>1.434741917186614E-2</v>
      </c>
      <c r="P286" s="31">
        <v>0</v>
      </c>
      <c r="Q286" s="32">
        <v>12.54033798780554</v>
      </c>
      <c r="R286" s="32">
        <v>4.2499997075137994</v>
      </c>
      <c r="S286" s="32">
        <v>56.55144965762026</v>
      </c>
      <c r="T286" s="32">
        <v>11.489795267072346</v>
      </c>
      <c r="U286" s="32">
        <v>3.0745921781867613</v>
      </c>
      <c r="V286" s="32">
        <v>3.7905397256680815</v>
      </c>
      <c r="W286" s="33">
        <v>0.58211111111111102</v>
      </c>
      <c r="X286" s="33">
        <v>-3.2198427000000045</v>
      </c>
    </row>
    <row r="287" spans="1:24" x14ac:dyDescent="0.15">
      <c r="A287" s="29" t="s">
        <v>248</v>
      </c>
      <c r="B287" s="30">
        <v>35.508606912442396</v>
      </c>
      <c r="C287" s="31">
        <v>5.7587633355105604E-2</v>
      </c>
      <c r="D287" s="31">
        <v>0.29887500000000011</v>
      </c>
      <c r="E287" s="31">
        <v>0.32735504014272976</v>
      </c>
      <c r="F287" s="31">
        <v>5.7961389961389961E-3</v>
      </c>
      <c r="G287" s="31">
        <v>5.4068380598992849E-3</v>
      </c>
      <c r="H287" s="31">
        <v>4.0129437192744533E-2</v>
      </c>
      <c r="I287" s="31">
        <v>1.0657894736842105E-3</v>
      </c>
      <c r="J287" s="31">
        <v>3.1233962264150942E-3</v>
      </c>
      <c r="K287" s="31">
        <v>8.1713615023474174E-3</v>
      </c>
      <c r="L287" s="31">
        <v>1.0209158381179103E-2</v>
      </c>
      <c r="M287" s="31">
        <v>1.0518168389955685E-2</v>
      </c>
      <c r="N287" s="31">
        <v>1.6119561551433386E-2</v>
      </c>
      <c r="O287" s="31">
        <v>1.5479863868406128E-2</v>
      </c>
      <c r="P287" s="31">
        <v>0</v>
      </c>
      <c r="Q287" s="32">
        <v>12.098334318590235</v>
      </c>
      <c r="R287" s="32">
        <v>3.8895155826325145</v>
      </c>
      <c r="S287" s="32">
        <v>55.367987816472414</v>
      </c>
      <c r="T287" s="32">
        <v>10.982730223123729</v>
      </c>
      <c r="U287" s="32">
        <v>3.0212696412158704</v>
      </c>
      <c r="V287" s="32">
        <v>3.5844838528495218</v>
      </c>
      <c r="W287" s="33">
        <v>0.48566666666666669</v>
      </c>
      <c r="X287" s="33">
        <v>-3.3551066000000027</v>
      </c>
    </row>
    <row r="288" spans="1:24" x14ac:dyDescent="0.15">
      <c r="A288" s="29" t="s">
        <v>249</v>
      </c>
      <c r="B288" s="30">
        <v>35.625284331797239</v>
      </c>
      <c r="C288" s="31">
        <v>5.5171456564337036E-2</v>
      </c>
      <c r="D288" s="31">
        <v>0.19087500000000002</v>
      </c>
      <c r="E288" s="31">
        <v>0.32415204678362569</v>
      </c>
      <c r="F288" s="31">
        <v>6.2270270270270277E-3</v>
      </c>
      <c r="G288" s="31">
        <v>6.017810760667903E-3</v>
      </c>
      <c r="H288" s="31">
        <v>4.0304318528564177E-2</v>
      </c>
      <c r="I288" s="31">
        <v>1.0657894736842105E-3</v>
      </c>
      <c r="J288" s="31">
        <v>3.2567547169811317E-3</v>
      </c>
      <c r="K288" s="31">
        <v>7.5158059467918606E-3</v>
      </c>
      <c r="L288" s="31">
        <v>9.9771320543341254E-3</v>
      </c>
      <c r="M288" s="31">
        <v>1.0849719350073851E-2</v>
      </c>
      <c r="N288" s="31">
        <v>1.5478330522765595E-2</v>
      </c>
      <c r="O288" s="31">
        <v>1.5039988655700514E-2</v>
      </c>
      <c r="P288" s="31">
        <v>0</v>
      </c>
      <c r="Q288" s="32">
        <v>12.210668690807843</v>
      </c>
      <c r="R288" s="32">
        <v>4.0667043084937999</v>
      </c>
      <c r="S288" s="32">
        <v>53.489027485320129</v>
      </c>
      <c r="T288" s="32">
        <v>9.904157538877616</v>
      </c>
      <c r="U288" s="32">
        <v>3.0067116408085992</v>
      </c>
      <c r="V288" s="32">
        <v>3.6881043812706156</v>
      </c>
      <c r="W288" s="33">
        <v>0.41755555555555562</v>
      </c>
      <c r="X288" s="33">
        <v>-3.3291316199999983</v>
      </c>
    </row>
    <row r="289" spans="1:24" x14ac:dyDescent="0.15">
      <c r="A289" s="29" t="s">
        <v>250</v>
      </c>
      <c r="B289" s="30">
        <v>35.741961751152076</v>
      </c>
      <c r="C289" s="31">
        <v>5.6137901861252115E-2</v>
      </c>
      <c r="D289" s="31">
        <v>0.16793533176153586</v>
      </c>
      <c r="E289" s="31">
        <v>0.32393300433677275</v>
      </c>
      <c r="F289" s="31">
        <v>5.7902187902187903E-3</v>
      </c>
      <c r="G289" s="31">
        <v>5.339928292046936E-3</v>
      </c>
      <c r="H289" s="31">
        <v>3.9524599739462971E-2</v>
      </c>
      <c r="I289" s="31">
        <v>1.2096774193548388E-3</v>
      </c>
      <c r="J289" s="31">
        <v>3.3249433106575955E-3</v>
      </c>
      <c r="K289" s="31">
        <v>7.9778753774361801E-3</v>
      </c>
      <c r="L289" s="31">
        <v>1.0222961158090875E-2</v>
      </c>
      <c r="M289" s="31">
        <v>1.012297053517739E-2</v>
      </c>
      <c r="N289" s="31">
        <v>1.6074104912572853E-2</v>
      </c>
      <c r="O289" s="31">
        <v>1.5864644107351229E-2</v>
      </c>
      <c r="P289" s="31">
        <v>0</v>
      </c>
      <c r="Q289" s="32">
        <v>12.15069324412884</v>
      </c>
      <c r="R289" s="32">
        <v>4.510890415196017</v>
      </c>
      <c r="S289" s="32">
        <v>56.25484409395807</v>
      </c>
      <c r="T289" s="32">
        <v>12.202364921437987</v>
      </c>
      <c r="U289" s="32">
        <v>2.9590928419560596</v>
      </c>
      <c r="V289" s="32">
        <v>3.5738865148250727</v>
      </c>
      <c r="W289" s="33">
        <v>0.62744444444444447</v>
      </c>
      <c r="X289" s="33">
        <v>-3.5880191799999999</v>
      </c>
    </row>
    <row r="290" spans="1:24" x14ac:dyDescent="0.15">
      <c r="A290" s="29" t="s">
        <v>251</v>
      </c>
      <c r="B290" s="30">
        <v>35.858639170506912</v>
      </c>
      <c r="C290" s="31">
        <v>5.7439192047377324E-2</v>
      </c>
      <c r="D290" s="31">
        <v>0.16235769619400467</v>
      </c>
      <c r="E290" s="31">
        <v>0.30800807537012104</v>
      </c>
      <c r="F290" s="31">
        <v>5.5891891891891908E-3</v>
      </c>
      <c r="G290" s="31">
        <v>3.7213820078226853E-3</v>
      </c>
      <c r="H290" s="31">
        <v>3.6692330966088163E-2</v>
      </c>
      <c r="I290" s="31">
        <v>8.4677419354838707E-4</v>
      </c>
      <c r="J290" s="31">
        <v>2.8469387755102036E-3</v>
      </c>
      <c r="K290" s="31">
        <v>7.4628602799890207E-3</v>
      </c>
      <c r="L290" s="31">
        <v>9.239114232478144E-3</v>
      </c>
      <c r="M290" s="31">
        <v>8.9594107035478061E-3</v>
      </c>
      <c r="N290" s="31">
        <v>1.7135970024979186E-2</v>
      </c>
      <c r="O290" s="31">
        <v>1.6663652275379231E-2</v>
      </c>
      <c r="P290" s="31">
        <v>0</v>
      </c>
      <c r="Q290" s="32">
        <v>11.562892891189914</v>
      </c>
      <c r="R290" s="32">
        <v>3.1576694756522117</v>
      </c>
      <c r="S290" s="32">
        <v>57.902460380969835</v>
      </c>
      <c r="T290" s="32">
        <v>14.640407907863327</v>
      </c>
      <c r="U290" s="32">
        <v>2.8201169383416023</v>
      </c>
      <c r="V290" s="32">
        <v>3.172621047469681</v>
      </c>
      <c r="W290" s="33">
        <v>0.55788888888888888</v>
      </c>
      <c r="X290" s="33">
        <v>-3.7956034600000024</v>
      </c>
    </row>
    <row r="291" spans="1:24" x14ac:dyDescent="0.15">
      <c r="A291" s="29" t="s">
        <v>252</v>
      </c>
      <c r="B291" s="30">
        <v>35.975316589861755</v>
      </c>
      <c r="C291" s="31">
        <v>6.6037436548223333E-2</v>
      </c>
      <c r="D291" s="31">
        <v>0.15399124284270796</v>
      </c>
      <c r="E291" s="31">
        <v>0.24575295349184981</v>
      </c>
      <c r="F291" s="31">
        <v>2.7582582582582589E-3</v>
      </c>
      <c r="G291" s="31">
        <v>3.6449152542372882E-3</v>
      </c>
      <c r="H291" s="31">
        <v>3.9235592721771649E-2</v>
      </c>
      <c r="I291" s="31">
        <v>7.0161290322580633E-4</v>
      </c>
      <c r="J291" s="31">
        <v>2.6712018140589563E-3</v>
      </c>
      <c r="K291" s="31">
        <v>8.755256656601703E-3</v>
      </c>
      <c r="L291" s="31">
        <v>8.7754622330514561E-3</v>
      </c>
      <c r="M291" s="31">
        <v>6.527570655441974E-3</v>
      </c>
      <c r="N291" s="31">
        <v>2.131523730224813E-2</v>
      </c>
      <c r="O291" s="31">
        <v>1.3612018669778297E-2</v>
      </c>
      <c r="P291" s="31">
        <v>0</v>
      </c>
      <c r="Q291" s="32">
        <v>9.7259307933676435</v>
      </c>
      <c r="R291" s="32">
        <v>2.781927210959168</v>
      </c>
      <c r="S291" s="32">
        <v>53.105287156291269</v>
      </c>
      <c r="T291" s="32">
        <v>26.971443376563226</v>
      </c>
      <c r="U291" s="32">
        <v>2.4001594613749115</v>
      </c>
      <c r="V291" s="32">
        <v>2.4081926694564504</v>
      </c>
      <c r="W291" s="33">
        <v>0.83611111111111103</v>
      </c>
      <c r="X291" s="33">
        <v>-4.1546186399999989</v>
      </c>
    </row>
    <row r="292" spans="1:24" x14ac:dyDescent="0.15">
      <c r="A292" s="29" t="s">
        <v>253</v>
      </c>
      <c r="B292" s="30">
        <v>36.091994009216592</v>
      </c>
      <c r="C292" s="31">
        <v>6.1890334179357014E-2</v>
      </c>
      <c r="D292" s="31">
        <v>0.17581677332435158</v>
      </c>
      <c r="E292" s="31">
        <v>0.28797866507153175</v>
      </c>
      <c r="F292" s="31">
        <v>4.9266409266409275E-3</v>
      </c>
      <c r="G292" s="31">
        <v>4.7919165580182525E-3</v>
      </c>
      <c r="H292" s="31">
        <v>3.7929281001806953E-2</v>
      </c>
      <c r="I292" s="31">
        <v>7.2580645161290306E-4</v>
      </c>
      <c r="J292" s="31">
        <v>2.7555555555555549E-3</v>
      </c>
      <c r="K292" s="31">
        <v>8.2110897611858361E-3</v>
      </c>
      <c r="L292" s="31">
        <v>9.804543500071667E-3</v>
      </c>
      <c r="M292" s="31">
        <v>8.0983764281419134E-3</v>
      </c>
      <c r="N292" s="31">
        <v>1.9912406328059944E-2</v>
      </c>
      <c r="O292" s="31">
        <v>1.556621936989498E-2</v>
      </c>
      <c r="P292" s="31">
        <v>0</v>
      </c>
      <c r="Q292" s="32">
        <v>11.144674457630714</v>
      </c>
      <c r="R292" s="32">
        <v>2.9519152338205519</v>
      </c>
      <c r="S292" s="32">
        <v>55.222024275578384</v>
      </c>
      <c r="T292" s="32">
        <v>18.737001594399118</v>
      </c>
      <c r="U292" s="32">
        <v>2.8349043231750528</v>
      </c>
      <c r="V292" s="32">
        <v>2.967811473757501</v>
      </c>
      <c r="W292" s="33">
        <v>0.34533333333333327</v>
      </c>
      <c r="X292" s="33">
        <v>-3.9758116200000018</v>
      </c>
    </row>
    <row r="293" spans="1:24" x14ac:dyDescent="0.15">
      <c r="A293" s="29" t="s">
        <v>254</v>
      </c>
      <c r="B293" s="30">
        <v>36.208671428571435</v>
      </c>
      <c r="C293" s="31">
        <v>5.9214784263959389E-2</v>
      </c>
      <c r="D293" s="31">
        <v>0.18963960929605925</v>
      </c>
      <c r="E293" s="31">
        <v>0.28929714371167942</v>
      </c>
      <c r="F293" s="31">
        <v>6.2149292149292169E-3</v>
      </c>
      <c r="G293" s="31">
        <v>4.129204693611473E-3</v>
      </c>
      <c r="H293" s="31">
        <v>3.8437933352943654E-2</v>
      </c>
      <c r="I293" s="31">
        <v>8.4677419354838707E-4</v>
      </c>
      <c r="J293" s="31">
        <v>2.8820861678004531E-3</v>
      </c>
      <c r="K293" s="31">
        <v>7.9973099094153167E-3</v>
      </c>
      <c r="L293" s="31">
        <v>9.6575318904973517E-3</v>
      </c>
      <c r="M293" s="31">
        <v>8.8430547203848485E-3</v>
      </c>
      <c r="N293" s="31">
        <v>1.8996669442131554E-2</v>
      </c>
      <c r="O293" s="31">
        <v>1.4622812135355896E-2</v>
      </c>
      <c r="P293" s="31">
        <v>0</v>
      </c>
      <c r="Q293" s="32">
        <v>11.635169065396379</v>
      </c>
      <c r="R293" s="32">
        <v>3.2328423794811161</v>
      </c>
      <c r="S293" s="32">
        <v>55.321020839382889</v>
      </c>
      <c r="T293" s="32">
        <v>17.216082187266185</v>
      </c>
      <c r="U293" s="32">
        <v>2.8713997165131113</v>
      </c>
      <c r="V293" s="32">
        <v>3.1705548446866652</v>
      </c>
      <c r="W293" s="33">
        <v>0.57299999999999995</v>
      </c>
      <c r="X293" s="33">
        <v>-3.8367754199999951</v>
      </c>
    </row>
    <row r="294" spans="1:24" x14ac:dyDescent="0.15">
      <c r="A294" s="29" t="s">
        <v>255</v>
      </c>
      <c r="B294" s="30">
        <v>36.248750000000001</v>
      </c>
      <c r="C294" s="31">
        <v>5.9251269035532989E-2</v>
      </c>
      <c r="D294" s="31">
        <v>0.20455372179184908</v>
      </c>
      <c r="E294" s="31">
        <v>0.28886147250884797</v>
      </c>
      <c r="F294" s="31">
        <v>4.393393393393394E-3</v>
      </c>
      <c r="G294" s="31">
        <v>4.995827900912647E-3</v>
      </c>
      <c r="H294" s="31">
        <v>4.034537966970627E-2</v>
      </c>
      <c r="I294" s="31">
        <v>8.2258064516129033E-4</v>
      </c>
      <c r="J294" s="31">
        <v>2.839909297052154E-3</v>
      </c>
      <c r="K294" s="31">
        <v>8.152786165248423E-3</v>
      </c>
      <c r="L294" s="31">
        <v>9.5105202809230363E-3</v>
      </c>
      <c r="M294" s="31">
        <v>8.5987071557426346E-3</v>
      </c>
      <c r="N294" s="31">
        <v>1.9249958368026641E-2</v>
      </c>
      <c r="O294" s="31">
        <v>1.5094515752625437E-2</v>
      </c>
      <c r="P294" s="31">
        <v>0</v>
      </c>
      <c r="Q294" s="32">
        <v>11.000739249003145</v>
      </c>
      <c r="R294" s="32">
        <v>3.0161667399843965</v>
      </c>
      <c r="S294" s="32">
        <v>55.219628222407579</v>
      </c>
      <c r="T294" s="32">
        <v>16.841232898065346</v>
      </c>
      <c r="U294" s="32">
        <v>2.8102834868887312</v>
      </c>
      <c r="V294" s="32">
        <v>2.9987600810342889</v>
      </c>
      <c r="W294" s="33">
        <v>0.48255555555555557</v>
      </c>
      <c r="X294" s="33">
        <v>-3.6402924799999994</v>
      </c>
    </row>
    <row r="295" spans="1:24" x14ac:dyDescent="0.15">
      <c r="A295" s="29" t="s">
        <v>256</v>
      </c>
      <c r="B295" s="30">
        <v>36.329479166666665</v>
      </c>
      <c r="C295" s="31">
        <v>5.9956641285956007E-2</v>
      </c>
      <c r="D295" s="31">
        <v>0.17363422027618725</v>
      </c>
      <c r="E295" s="31">
        <v>0.29379143611983444</v>
      </c>
      <c r="F295" s="31">
        <v>4.7072072072072086E-3</v>
      </c>
      <c r="G295" s="31">
        <v>5.2813037809647974E-3</v>
      </c>
      <c r="H295" s="31">
        <v>3.8726940370634962E-2</v>
      </c>
      <c r="I295" s="31">
        <v>8.4677419354838707E-4</v>
      </c>
      <c r="J295" s="31">
        <v>2.6993197278911557E-3</v>
      </c>
      <c r="K295" s="31">
        <v>7.5697502058742795E-3</v>
      </c>
      <c r="L295" s="31">
        <v>8.5719076967177895E-3</v>
      </c>
      <c r="M295" s="31">
        <v>8.7499699338544831E-3</v>
      </c>
      <c r="N295" s="31">
        <v>1.8665445462114898E-2</v>
      </c>
      <c r="O295" s="31">
        <v>1.3871936989498252E-2</v>
      </c>
      <c r="P295" s="31">
        <v>0</v>
      </c>
      <c r="Q295" s="32">
        <v>11.661645373892785</v>
      </c>
      <c r="R295" s="32">
        <v>3.2510039574390577</v>
      </c>
      <c r="S295" s="32">
        <v>55.523256519853966</v>
      </c>
      <c r="T295" s="32">
        <v>17.933559117468917</v>
      </c>
      <c r="U295" s="32">
        <v>2.863479801559178</v>
      </c>
      <c r="V295" s="32">
        <v>3.1729209801317317</v>
      </c>
      <c r="W295" s="33">
        <v>0.67399999999999993</v>
      </c>
      <c r="X295" s="33">
        <v>-3.8835519399999967</v>
      </c>
    </row>
    <row r="296" spans="1:24" x14ac:dyDescent="0.15">
      <c r="A296" s="29" t="s">
        <v>257</v>
      </c>
      <c r="B296" s="30">
        <v>36.410208333333337</v>
      </c>
      <c r="C296" s="31">
        <v>6.0454399486191399E-2</v>
      </c>
      <c r="D296" s="31">
        <v>0.16925641880626879</v>
      </c>
      <c r="E296" s="31">
        <v>0.27467076404550073</v>
      </c>
      <c r="F296" s="31">
        <v>4.6573319103521884E-3</v>
      </c>
      <c r="G296" s="31">
        <v>4.6640159045725641E-3</v>
      </c>
      <c r="H296" s="31">
        <v>3.9160183324962336E-2</v>
      </c>
      <c r="I296" s="31">
        <v>7.0866141732283457E-4</v>
      </c>
      <c r="J296" s="31">
        <v>2.8136258660508076E-3</v>
      </c>
      <c r="K296" s="31">
        <v>7.5760632497273725E-3</v>
      </c>
      <c r="L296" s="31">
        <v>9.0197199199771368E-3</v>
      </c>
      <c r="M296" s="31">
        <v>7.6782993799822874E-3</v>
      </c>
      <c r="N296" s="31">
        <v>1.9652909616178292E-2</v>
      </c>
      <c r="O296" s="31">
        <v>1.4657957244655583E-2</v>
      </c>
      <c r="P296" s="31">
        <v>0</v>
      </c>
      <c r="Q296" s="32">
        <v>10.776752421387886</v>
      </c>
      <c r="R296" s="32">
        <v>2.8421823581265246</v>
      </c>
      <c r="S296" s="32">
        <v>55.213144844459698</v>
      </c>
      <c r="T296" s="32">
        <v>19.950034384486706</v>
      </c>
      <c r="U296" s="32">
        <v>2.7324809466285971</v>
      </c>
      <c r="V296" s="32">
        <v>2.91718079440072</v>
      </c>
      <c r="W296" s="33">
        <v>0.66166666666666663</v>
      </c>
      <c r="X296" s="33">
        <v>-3.9097424799999985</v>
      </c>
    </row>
    <row r="297" spans="1:24" x14ac:dyDescent="0.15">
      <c r="A297" s="29" t="s">
        <v>258</v>
      </c>
      <c r="B297" s="30">
        <v>36.490937500000001</v>
      </c>
      <c r="C297" s="31">
        <v>6.7212588310854207E-2</v>
      </c>
      <c r="D297" s="31">
        <v>0.13912637545848616</v>
      </c>
      <c r="E297" s="31">
        <v>0.23936507149760852</v>
      </c>
      <c r="F297" s="31">
        <v>3.9145677694770557E-3</v>
      </c>
      <c r="G297" s="31">
        <v>4.1280886111900016E-3</v>
      </c>
      <c r="H297" s="31">
        <v>3.6972463586137622E-2</v>
      </c>
      <c r="I297" s="31">
        <v>5.905511811023623E-4</v>
      </c>
      <c r="J297" s="31">
        <v>2.6346420323325632E-3</v>
      </c>
      <c r="K297" s="31">
        <v>7.7980370774263907E-3</v>
      </c>
      <c r="L297" s="31">
        <v>9.155015718776794E-3</v>
      </c>
      <c r="M297" s="31">
        <v>6.2500442869796273E-3</v>
      </c>
      <c r="N297" s="31">
        <v>2.1265703673132484E-2</v>
      </c>
      <c r="O297" s="31">
        <v>1.4628562945368172E-2</v>
      </c>
      <c r="P297" s="31">
        <v>0</v>
      </c>
      <c r="Q297" s="32">
        <v>9.6048475862286686</v>
      </c>
      <c r="R297" s="32">
        <v>2.1763150875285469</v>
      </c>
      <c r="S297" s="32">
        <v>54.400949068307703</v>
      </c>
      <c r="T297" s="32">
        <v>27.930448856948139</v>
      </c>
      <c r="U297" s="32">
        <v>2.4091982484076433</v>
      </c>
      <c r="V297" s="32">
        <v>2.4888869034971268</v>
      </c>
      <c r="W297" s="33">
        <v>0.91833333333333345</v>
      </c>
      <c r="X297" s="33">
        <v>-3.5817679400000024</v>
      </c>
    </row>
    <row r="298" spans="1:24" x14ac:dyDescent="0.15">
      <c r="A298" s="29" t="s">
        <v>259</v>
      </c>
      <c r="B298" s="30">
        <v>36.571666666666665</v>
      </c>
      <c r="C298" s="31">
        <v>6.4381288803254125E-2</v>
      </c>
      <c r="D298" s="31">
        <v>0.17033677892630877</v>
      </c>
      <c r="E298" s="31">
        <v>0.23542068350226761</v>
      </c>
      <c r="F298" s="31">
        <v>3.2286819637139808E-3</v>
      </c>
      <c r="G298" s="31">
        <v>2.8389662027832998E-3</v>
      </c>
      <c r="H298" s="31">
        <v>4.161273229532899E-2</v>
      </c>
      <c r="I298" s="31">
        <v>5.905511811023623E-4</v>
      </c>
      <c r="J298" s="31">
        <v>2.6060046189376436E-3</v>
      </c>
      <c r="K298" s="31">
        <v>8.4060523446019639E-3</v>
      </c>
      <c r="L298" s="31">
        <v>9.8540440125750237E-3</v>
      </c>
      <c r="M298" s="31">
        <v>6.5128432240921181E-3</v>
      </c>
      <c r="N298" s="31">
        <v>2.0338588526619895E-2</v>
      </c>
      <c r="O298" s="31">
        <v>1.3521377672209024E-2</v>
      </c>
      <c r="P298" s="31">
        <v>0</v>
      </c>
      <c r="Q298" s="32">
        <v>9.9107510674450907</v>
      </c>
      <c r="R298" s="32">
        <v>2.3820582609115362</v>
      </c>
      <c r="S298" s="32">
        <v>54.41651657249858</v>
      </c>
      <c r="T298" s="32">
        <v>26.494015550461555</v>
      </c>
      <c r="U298" s="32">
        <v>2.3486577805842308</v>
      </c>
      <c r="V298" s="32">
        <v>2.6436369223924143</v>
      </c>
      <c r="W298" s="33">
        <v>0.91899999999999993</v>
      </c>
      <c r="X298" s="33">
        <v>-4.1787613599999993</v>
      </c>
    </row>
    <row r="299" spans="1:24" x14ac:dyDescent="0.15">
      <c r="A299" s="29" t="s">
        <v>260</v>
      </c>
      <c r="B299" s="30">
        <v>36.652395833333337</v>
      </c>
      <c r="C299" s="31">
        <v>6.2965639049454084E-2</v>
      </c>
      <c r="D299" s="31">
        <v>0.13336445481827275</v>
      </c>
      <c r="E299" s="31">
        <v>0.26240440137790877</v>
      </c>
      <c r="F299" s="31">
        <v>4.9326421710626633E-3</v>
      </c>
      <c r="G299" s="31">
        <v>2.6108349900596422E-3</v>
      </c>
      <c r="H299" s="31">
        <v>3.5947689603214476E-2</v>
      </c>
      <c r="I299" s="31">
        <v>5.905511811023623E-4</v>
      </c>
      <c r="J299" s="31">
        <v>2.3983833718244797E-3</v>
      </c>
      <c r="K299" s="31">
        <v>8.463958560523446E-3</v>
      </c>
      <c r="L299" s="31">
        <v>1.6663932552157763E-2</v>
      </c>
      <c r="M299" s="31">
        <v>6.5128432240921163E-3</v>
      </c>
      <c r="N299" s="31">
        <v>2.0821460998761861E-2</v>
      </c>
      <c r="O299" s="31">
        <v>1.7215261282660328E-2</v>
      </c>
      <c r="P299" s="31">
        <v>3.1587096774193552E-4</v>
      </c>
      <c r="Q299" s="32">
        <v>9.800463858195787</v>
      </c>
      <c r="R299" s="32">
        <v>2.1785106809977566</v>
      </c>
      <c r="S299" s="32">
        <v>56.010220709458572</v>
      </c>
      <c r="T299" s="32">
        <v>23.034177870020443</v>
      </c>
      <c r="U299" s="32">
        <v>2.485442263342851</v>
      </c>
      <c r="V299" s="32">
        <v>2.5898522602330463</v>
      </c>
      <c r="W299" s="33">
        <v>0.88122222222222235</v>
      </c>
      <c r="X299" s="33">
        <v>-3.7620569349999968</v>
      </c>
    </row>
    <row r="300" spans="1:24" x14ac:dyDescent="0.15">
      <c r="A300" s="29" t="s">
        <v>261</v>
      </c>
      <c r="B300" s="30">
        <v>36.733125000000001</v>
      </c>
      <c r="C300" s="31">
        <v>5.9949689573967034E-2</v>
      </c>
      <c r="D300" s="31">
        <v>0.12904301433811272</v>
      </c>
      <c r="E300" s="31">
        <v>0.27704195682882704</v>
      </c>
      <c r="F300" s="31">
        <v>4.5971077908217722E-3</v>
      </c>
      <c r="G300" s="31">
        <v>3.2952286282306158E-3</v>
      </c>
      <c r="H300" s="31">
        <v>3.6108890005022598E-2</v>
      </c>
      <c r="I300" s="31">
        <v>6.2598425196850401E-4</v>
      </c>
      <c r="J300" s="31">
        <v>2.7205542725173204E-3</v>
      </c>
      <c r="K300" s="31">
        <v>8.6376772082878955E-3</v>
      </c>
      <c r="L300" s="31">
        <v>9.3354101171763387E-3</v>
      </c>
      <c r="M300" s="31">
        <v>7.3012400354295834E-3</v>
      </c>
      <c r="N300" s="31">
        <v>2.0666941807676434E-2</v>
      </c>
      <c r="O300" s="31">
        <v>1.6921318289786224E-2</v>
      </c>
      <c r="P300" s="31">
        <v>0</v>
      </c>
      <c r="Q300" s="32">
        <v>10.03323533700498</v>
      </c>
      <c r="R300" s="32">
        <v>2.4445523481936675</v>
      </c>
      <c r="S300" s="32">
        <v>56.330129645510048</v>
      </c>
      <c r="T300" s="32">
        <v>20.632094355987849</v>
      </c>
      <c r="U300" s="32">
        <v>2.6002864045684171</v>
      </c>
      <c r="V300" s="32">
        <v>2.742098090078477</v>
      </c>
      <c r="W300" s="33">
        <v>0.79800000000000004</v>
      </c>
      <c r="X300" s="33">
        <v>-3.628990977142859</v>
      </c>
    </row>
    <row r="301" spans="1:24" x14ac:dyDescent="0.15">
      <c r="A301" s="29" t="s">
        <v>262</v>
      </c>
      <c r="B301" s="30">
        <v>36.813854166666665</v>
      </c>
      <c r="C301" s="31">
        <v>5.944497966174267E-2</v>
      </c>
      <c r="D301" s="31">
        <v>0.14152717572524176</v>
      </c>
      <c r="E301" s="31">
        <v>0.2798007484325048</v>
      </c>
      <c r="F301" s="31">
        <v>5.5205442902881551E-3</v>
      </c>
      <c r="G301" s="31">
        <v>4.1773359840954274E-3</v>
      </c>
      <c r="H301" s="31">
        <v>3.6281604721245607E-2</v>
      </c>
      <c r="I301" s="31">
        <v>7.0866141732283457E-4</v>
      </c>
      <c r="J301" s="31">
        <v>2.498614318706697E-3</v>
      </c>
      <c r="K301" s="31">
        <v>8.0586150490730632E-3</v>
      </c>
      <c r="L301" s="31">
        <v>8.7829522720777389E-3</v>
      </c>
      <c r="M301" s="31">
        <v>7.5069087688219684E-3</v>
      </c>
      <c r="N301" s="31">
        <v>1.9961947998349154E-2</v>
      </c>
      <c r="O301" s="31">
        <v>1.8959323040380047E-2</v>
      </c>
      <c r="P301" s="31">
        <v>0</v>
      </c>
      <c r="Q301" s="32">
        <v>10.501648783631222</v>
      </c>
      <c r="R301" s="32">
        <v>2.5657651730120943</v>
      </c>
      <c r="S301" s="32">
        <v>57.126736083664447</v>
      </c>
      <c r="T301" s="32">
        <v>19.405506783966292</v>
      </c>
      <c r="U301" s="32">
        <v>2.7047181803206679</v>
      </c>
      <c r="V301" s="32">
        <v>2.857468074092349</v>
      </c>
      <c r="W301" s="33">
        <v>0.80422222222222239</v>
      </c>
      <c r="X301" s="33">
        <v>-3.6382446600000051</v>
      </c>
    </row>
    <row r="302" spans="1:24" x14ac:dyDescent="0.15">
      <c r="A302" s="29" t="s">
        <v>263</v>
      </c>
      <c r="B302" s="30">
        <v>36.894583333333337</v>
      </c>
      <c r="C302" s="31">
        <v>6.0515949475487052E-2</v>
      </c>
      <c r="D302" s="31">
        <v>0.12940313437812603</v>
      </c>
      <c r="E302" s="31">
        <v>0.25888181209883276</v>
      </c>
      <c r="F302" s="31">
        <v>3.4796157950907156E-3</v>
      </c>
      <c r="G302" s="31">
        <v>2.6159045725646121E-3</v>
      </c>
      <c r="H302" s="31">
        <v>3.5395002511300858E-2</v>
      </c>
      <c r="I302" s="31">
        <v>5.905511811023623E-4</v>
      </c>
      <c r="J302" s="31">
        <v>2.4556581986143189E-3</v>
      </c>
      <c r="K302" s="31">
        <v>7.6918756815703383E-3</v>
      </c>
      <c r="L302" s="31">
        <v>7.7231351814804252E-3</v>
      </c>
      <c r="M302" s="31">
        <v>6.7527900797165639E-3</v>
      </c>
      <c r="N302" s="31">
        <v>2.0261328931077176E-2</v>
      </c>
      <c r="O302" s="31">
        <v>1.7107482185273158E-2</v>
      </c>
      <c r="P302" s="31">
        <v>0</v>
      </c>
      <c r="Q302" s="32">
        <v>10.002717506500378</v>
      </c>
      <c r="R302" s="32">
        <v>2.3859139372477087</v>
      </c>
      <c r="S302" s="32">
        <v>58.251384550873262</v>
      </c>
      <c r="T302" s="32">
        <v>21.659978625859612</v>
      </c>
      <c r="U302" s="32">
        <v>2.5925621293652537</v>
      </c>
      <c r="V302" s="32">
        <v>2.5774532002914863</v>
      </c>
      <c r="W302" s="33">
        <v>0.91766666666666674</v>
      </c>
      <c r="X302" s="33">
        <v>-3.984218460000001</v>
      </c>
    </row>
    <row r="303" spans="1:24" x14ac:dyDescent="0.15">
      <c r="A303" s="29" t="s">
        <v>264</v>
      </c>
      <c r="B303" s="30">
        <v>36.975312500000001</v>
      </c>
      <c r="C303" s="31">
        <v>5.8655021834061141E-2</v>
      </c>
      <c r="D303" s="31">
        <v>0.13429429429429429</v>
      </c>
      <c r="E303" s="31">
        <v>0.29044432454866165</v>
      </c>
      <c r="F303" s="31">
        <v>3.6704297626683779E-3</v>
      </c>
      <c r="G303" s="31">
        <v>2.8851499634235545E-3</v>
      </c>
      <c r="H303" s="31">
        <v>3.7588564435817373E-2</v>
      </c>
      <c r="I303" s="31">
        <v>6.2842892768079817E-4</v>
      </c>
      <c r="J303" s="31">
        <v>2.3930662557781197E-3</v>
      </c>
      <c r="K303" s="31">
        <v>6.9339253068686343E-3</v>
      </c>
      <c r="L303" s="31">
        <v>8.2320682302771918E-3</v>
      </c>
      <c r="M303" s="31">
        <v>6.7784810126582289E-3</v>
      </c>
      <c r="N303" s="31">
        <v>2.0034847853272197E-2</v>
      </c>
      <c r="O303" s="31">
        <v>1.680486705723299E-2</v>
      </c>
      <c r="P303" s="31">
        <v>0</v>
      </c>
      <c r="Q303" s="32">
        <v>10.070730231119272</v>
      </c>
      <c r="R303" s="32">
        <v>2.4058448053155601</v>
      </c>
      <c r="S303" s="32">
        <v>59.276605477612961</v>
      </c>
      <c r="T303" s="32">
        <v>20.535839437674746</v>
      </c>
      <c r="U303" s="32">
        <v>2.6243283472888383</v>
      </c>
      <c r="V303" s="32">
        <v>2.6330919709924823</v>
      </c>
      <c r="W303" s="33">
        <v>0.91055555555555556</v>
      </c>
      <c r="X303" s="33">
        <v>-4.082837160000004</v>
      </c>
    </row>
    <row r="304" spans="1:24" x14ac:dyDescent="0.15">
      <c r="A304" s="29" t="s">
        <v>265</v>
      </c>
      <c r="B304" s="30">
        <v>37.056041666666665</v>
      </c>
      <c r="C304" s="31">
        <v>5.7179699619235629E-2</v>
      </c>
      <c r="D304" s="31">
        <v>0.12557150092858349</v>
      </c>
      <c r="E304" s="31">
        <v>0.29275876464184269</v>
      </c>
      <c r="F304" s="31">
        <v>5.2125361620057849E-3</v>
      </c>
      <c r="G304" s="31">
        <v>3.4079131109387125E-3</v>
      </c>
      <c r="H304" s="31">
        <v>3.6449058763673367E-2</v>
      </c>
      <c r="I304" s="31">
        <v>7.1052631578947362E-4</v>
      </c>
      <c r="J304" s="31">
        <v>2.5773672055427253E-3</v>
      </c>
      <c r="K304" s="31">
        <v>7.9573210412147519E-3</v>
      </c>
      <c r="L304" s="31">
        <v>8.9398010667435489E-3</v>
      </c>
      <c r="M304" s="31">
        <v>7.8435066864784558E-3</v>
      </c>
      <c r="N304" s="31">
        <v>1.9957685950413227E-2</v>
      </c>
      <c r="O304" s="31">
        <v>1.990182328190743E-2</v>
      </c>
      <c r="P304" s="31">
        <v>0</v>
      </c>
      <c r="Q304" s="32">
        <v>10.806115027264726</v>
      </c>
      <c r="R304" s="32">
        <v>2.6876939630118324</v>
      </c>
      <c r="S304" s="32">
        <v>59.626715197709082</v>
      </c>
      <c r="T304" s="32">
        <v>17.03259144394783</v>
      </c>
      <c r="U304" s="32">
        <v>2.7913598989904571</v>
      </c>
      <c r="V304" s="32">
        <v>2.903275824183714</v>
      </c>
      <c r="W304" s="33">
        <v>0.76844444444444449</v>
      </c>
      <c r="X304" s="33">
        <v>-3.6243410400000009</v>
      </c>
    </row>
    <row r="305" spans="1:24" x14ac:dyDescent="0.15">
      <c r="A305" s="29" t="s">
        <v>266</v>
      </c>
      <c r="B305" s="30">
        <v>37.136770833333337</v>
      </c>
      <c r="C305" s="31">
        <v>6.1436856578761787E-2</v>
      </c>
      <c r="D305" s="31">
        <v>0.13930778321796386</v>
      </c>
      <c r="E305" s="31">
        <v>0.29210359589741908</v>
      </c>
      <c r="F305" s="31">
        <v>4.8115718418514936E-3</v>
      </c>
      <c r="G305" s="31">
        <v>3.4651889615427249E-3</v>
      </c>
      <c r="H305" s="31">
        <v>3.6763978631391497E-2</v>
      </c>
      <c r="I305" s="31">
        <v>8.2894736842105258E-4</v>
      </c>
      <c r="J305" s="31">
        <v>2.7849884526558897E-3</v>
      </c>
      <c r="K305" s="31">
        <v>8.8212039045553158E-3</v>
      </c>
      <c r="L305" s="31">
        <v>8.6782038345105967E-3</v>
      </c>
      <c r="M305" s="31">
        <v>7.6019910846953963E-3</v>
      </c>
      <c r="N305" s="31">
        <v>2.0025371900826455E-2</v>
      </c>
      <c r="O305" s="31">
        <v>1.9082223001402523E-2</v>
      </c>
      <c r="P305" s="31">
        <v>0</v>
      </c>
      <c r="Q305" s="32">
        <v>10.402555271339819</v>
      </c>
      <c r="R305" s="32">
        <v>3.0982762360148834</v>
      </c>
      <c r="S305" s="32">
        <v>59.388703605967969</v>
      </c>
      <c r="T305" s="32">
        <v>16.465082550396797</v>
      </c>
      <c r="U305" s="32">
        <v>2.6924677161786574</v>
      </c>
      <c r="V305" s="32">
        <v>2.8433070178588102</v>
      </c>
      <c r="W305" s="33">
        <v>0.74933333333333341</v>
      </c>
      <c r="X305" s="33">
        <v>-3.9019823200000019</v>
      </c>
    </row>
    <row r="306" spans="1:24" x14ac:dyDescent="0.15">
      <c r="A306" s="29" t="s">
        <v>267</v>
      </c>
      <c r="B306" s="30">
        <v>37.217500000000001</v>
      </c>
      <c r="C306" s="31">
        <v>5.6705330700888429E-2</v>
      </c>
      <c r="D306" s="31">
        <v>0.13979402329900389</v>
      </c>
      <c r="E306" s="31">
        <v>0.30446143393878872</v>
      </c>
      <c r="F306" s="31">
        <v>4.6361499517839919E-3</v>
      </c>
      <c r="G306" s="31">
        <v>4.2933023015257312E-3</v>
      </c>
      <c r="H306" s="31">
        <v>4.2572500635970484E-2</v>
      </c>
      <c r="I306" s="31">
        <v>8.2894736842105258E-4</v>
      </c>
      <c r="J306" s="31">
        <v>2.7921478060046194E-3</v>
      </c>
      <c r="K306" s="31">
        <v>8.562039045553145E-3</v>
      </c>
      <c r="L306" s="31">
        <v>8.860184517803087E-3</v>
      </c>
      <c r="M306" s="31">
        <v>7.9930163447251151E-3</v>
      </c>
      <c r="N306" s="31">
        <v>1.9570909090909097E-2</v>
      </c>
      <c r="O306" s="31">
        <v>1.9005084151472649E-2</v>
      </c>
      <c r="P306" s="31">
        <v>0</v>
      </c>
      <c r="Q306" s="32">
        <v>10.989473946732138</v>
      </c>
      <c r="R306" s="32">
        <v>3.132069954220885</v>
      </c>
      <c r="S306" s="32">
        <v>59.554285930841907</v>
      </c>
      <c r="T306" s="32">
        <v>14.179183617622915</v>
      </c>
      <c r="U306" s="32">
        <v>2.6802037596768584</v>
      </c>
      <c r="V306" s="32">
        <v>3.0621474087850689</v>
      </c>
      <c r="W306" s="33">
        <v>0.59628571428571431</v>
      </c>
      <c r="X306" s="33">
        <v>-3.7194799857142868</v>
      </c>
    </row>
    <row r="307" spans="1:24" x14ac:dyDescent="0.15">
      <c r="A307" s="29" t="s">
        <v>268</v>
      </c>
      <c r="B307" s="30">
        <v>37.298229166666665</v>
      </c>
      <c r="C307" s="31">
        <v>5.7568925398392305E-2</v>
      </c>
      <c r="D307" s="31">
        <v>0.11912881985480329</v>
      </c>
      <c r="E307" s="31">
        <v>0.28779981500732599</v>
      </c>
      <c r="F307" s="31">
        <v>6.736200578592093E-3</v>
      </c>
      <c r="G307" s="31">
        <v>2.7778787542945809E-3</v>
      </c>
      <c r="H307" s="31">
        <v>3.5772564233019596E-2</v>
      </c>
      <c r="I307" s="31">
        <v>6.868421052631579E-4</v>
      </c>
      <c r="J307" s="31">
        <v>2.8136258660508093E-3</v>
      </c>
      <c r="K307" s="31">
        <v>8.226084598698483E-3</v>
      </c>
      <c r="L307" s="31">
        <v>8.5985872855701331E-3</v>
      </c>
      <c r="M307" s="31">
        <v>7.8550074294205085E-3</v>
      </c>
      <c r="N307" s="31">
        <v>2.0238099173553719E-2</v>
      </c>
      <c r="O307" s="31">
        <v>1.8204768583450211E-2</v>
      </c>
      <c r="P307" s="31">
        <v>0</v>
      </c>
      <c r="Q307" s="32">
        <v>10.79329428319946</v>
      </c>
      <c r="R307" s="32">
        <v>2.5178533625799222</v>
      </c>
      <c r="S307" s="32">
        <v>57.967060291865252</v>
      </c>
      <c r="T307" s="32">
        <v>15.86808446593086</v>
      </c>
      <c r="U307" s="32">
        <v>2.6427062047929812</v>
      </c>
      <c r="V307" s="32">
        <v>3.013873300827953</v>
      </c>
      <c r="W307" s="33">
        <v>0.99477777777777776</v>
      </c>
      <c r="X307" s="33">
        <v>-3.7842865600000017</v>
      </c>
    </row>
    <row r="308" spans="1:24" x14ac:dyDescent="0.15">
      <c r="A308" s="29" t="s">
        <v>269</v>
      </c>
      <c r="B308" s="30">
        <v>37.378958333333337</v>
      </c>
      <c r="C308" s="31">
        <v>6.0378648991679572E-2</v>
      </c>
      <c r="D308" s="31">
        <v>0.10442005740334288</v>
      </c>
      <c r="E308" s="31">
        <v>0.26434929236209442</v>
      </c>
      <c r="F308" s="31">
        <v>4.7280376084860177E-3</v>
      </c>
      <c r="G308" s="31">
        <v>3.5081458494957336E-3</v>
      </c>
      <c r="H308" s="31">
        <v>3.3031595013991347E-2</v>
      </c>
      <c r="I308" s="31">
        <v>5.9210526315789489E-4</v>
      </c>
      <c r="J308" s="31">
        <v>2.6919168591224016E-3</v>
      </c>
      <c r="K308" s="31">
        <v>9.1283622559652951E-3</v>
      </c>
      <c r="L308" s="31">
        <v>8.8033155542741829E-3</v>
      </c>
      <c r="M308" s="31">
        <v>7.4179791976225883E-3</v>
      </c>
      <c r="N308" s="31">
        <v>2.0895619834710746E-2</v>
      </c>
      <c r="O308" s="31">
        <v>1.9197931276297334E-2</v>
      </c>
      <c r="P308" s="31">
        <v>0</v>
      </c>
      <c r="Q308" s="32">
        <v>10.89680204393493</v>
      </c>
      <c r="R308" s="32">
        <v>2.4212883829662655</v>
      </c>
      <c r="S308" s="32">
        <v>56.021519975657291</v>
      </c>
      <c r="T308" s="32">
        <v>19.59845206604032</v>
      </c>
      <c r="U308" s="32">
        <v>2.6491749874290651</v>
      </c>
      <c r="V308" s="32">
        <v>3.0834277425516481</v>
      </c>
      <c r="W308" s="33">
        <v>1.2435555555555557</v>
      </c>
      <c r="X308" s="33">
        <v>-3.4929572200000045</v>
      </c>
    </row>
    <row r="309" spans="1:24" x14ac:dyDescent="0.15">
      <c r="A309" s="29" t="s">
        <v>270</v>
      </c>
      <c r="B309" s="30">
        <v>37.459687500000001</v>
      </c>
      <c r="C309" s="31">
        <v>5.8262233817515136E-2</v>
      </c>
      <c r="D309" s="31">
        <v>0.1015026169171028</v>
      </c>
      <c r="E309" s="31">
        <v>0.28542765231199912</v>
      </c>
      <c r="F309" s="31">
        <v>5.2984570877531324E-3</v>
      </c>
      <c r="G309" s="31">
        <v>3.7977070942160156E-3</v>
      </c>
      <c r="H309" s="31">
        <v>3.5107733401170189E-2</v>
      </c>
      <c r="I309" s="31">
        <v>7.1052631578947362E-4</v>
      </c>
      <c r="J309" s="31">
        <v>2.9854503464203236E-3</v>
      </c>
      <c r="K309" s="31">
        <v>8.1684924078091123E-3</v>
      </c>
      <c r="L309" s="31">
        <v>1.1476156840132624E-2</v>
      </c>
      <c r="M309" s="31">
        <v>8.0160178306092136E-3</v>
      </c>
      <c r="N309" s="31">
        <v>2.0373471074380166E-2</v>
      </c>
      <c r="O309" s="31">
        <v>1.7963709677419355E-2</v>
      </c>
      <c r="P309" s="31">
        <v>0</v>
      </c>
      <c r="Q309" s="32">
        <v>10.889530879449259</v>
      </c>
      <c r="R309" s="32">
        <v>2.7020217482615383</v>
      </c>
      <c r="S309" s="32">
        <v>54.975280529472045</v>
      </c>
      <c r="T309" s="32">
        <v>18.533058469397062</v>
      </c>
      <c r="U309" s="32">
        <v>2.5695287694849518</v>
      </c>
      <c r="V309" s="32">
        <v>3.2036666499113156</v>
      </c>
      <c r="W309" s="33">
        <v>1.2684444444444443</v>
      </c>
      <c r="X309" s="33">
        <v>-3.6488070999999991</v>
      </c>
    </row>
    <row r="310" spans="1:24" x14ac:dyDescent="0.15">
      <c r="A310" s="29" t="s">
        <v>271</v>
      </c>
      <c r="B310" s="30">
        <v>37.540416666666665</v>
      </c>
      <c r="C310" s="31">
        <v>5.8335213651107019E-2</v>
      </c>
      <c r="D310" s="31">
        <v>0.12399122066520342</v>
      </c>
      <c r="E310" s="31">
        <v>0.2806607348956755</v>
      </c>
      <c r="F310" s="31">
        <v>3.9294503375120549E-3</v>
      </c>
      <c r="G310" s="31">
        <v>3.8923713472976467E-3</v>
      </c>
      <c r="H310" s="31">
        <v>3.5026087509539561E-2</v>
      </c>
      <c r="I310" s="31">
        <v>8.1710526315789472E-4</v>
      </c>
      <c r="J310" s="31">
        <v>2.8494226327944582E-3</v>
      </c>
      <c r="K310" s="31">
        <v>8.3028741865509761E-3</v>
      </c>
      <c r="L310" s="31">
        <v>2.3691610206140985E-2</v>
      </c>
      <c r="M310" s="31">
        <v>8.2345319465081755E-3</v>
      </c>
      <c r="N310" s="31">
        <v>2.0634545454545457E-2</v>
      </c>
      <c r="O310" s="31">
        <v>1.7038043478260871E-2</v>
      </c>
      <c r="P310" s="31">
        <v>0</v>
      </c>
      <c r="Q310" s="32">
        <v>11.1870916400099</v>
      </c>
      <c r="R310" s="32">
        <v>3.0528244228819204</v>
      </c>
      <c r="S310" s="32">
        <v>56.13965543798551</v>
      </c>
      <c r="T310" s="32">
        <v>17.609180881145676</v>
      </c>
      <c r="U310" s="32">
        <v>2.6906179651108189</v>
      </c>
      <c r="V310" s="32">
        <v>3.358866902677744</v>
      </c>
      <c r="W310" s="33">
        <v>1.2464444444444445</v>
      </c>
      <c r="X310" s="33">
        <v>-3.6414626628571369</v>
      </c>
    </row>
    <row r="311" spans="1:24" x14ac:dyDescent="0.15">
      <c r="A311" s="29" t="s">
        <v>272</v>
      </c>
      <c r="B311" s="30">
        <v>37.621145833333337</v>
      </c>
      <c r="C311" s="31">
        <v>6.0421288014311278E-2</v>
      </c>
      <c r="D311" s="31">
        <v>0.10896969696969698</v>
      </c>
      <c r="E311" s="31">
        <v>0.27878596059512051</v>
      </c>
      <c r="F311" s="31">
        <v>4.0526600985221683E-3</v>
      </c>
      <c r="G311" s="31">
        <v>3.7061354581673306E-3</v>
      </c>
      <c r="H311" s="31">
        <v>3.5568273854720327E-2</v>
      </c>
      <c r="I311" s="31">
        <v>6.2928759894459072E-4</v>
      </c>
      <c r="J311" s="31">
        <v>2.7574319066147857E-3</v>
      </c>
      <c r="K311" s="31">
        <v>8.2789545330792264E-3</v>
      </c>
      <c r="L311" s="31">
        <v>1.3629927007299265E-2</v>
      </c>
      <c r="M311" s="31">
        <v>7.3796263345195737E-3</v>
      </c>
      <c r="N311" s="31">
        <v>2.056716417910448E-2</v>
      </c>
      <c r="O311" s="31">
        <v>1.7384240216241621E-2</v>
      </c>
      <c r="P311" s="31">
        <v>0</v>
      </c>
      <c r="Q311" s="32">
        <v>10.680418936378128</v>
      </c>
      <c r="R311" s="32">
        <v>2.4661601933341868</v>
      </c>
      <c r="S311" s="32">
        <v>55.640766619801937</v>
      </c>
      <c r="T311" s="32">
        <v>21.979410093741119</v>
      </c>
      <c r="U311" s="32">
        <v>2.6064307542714262</v>
      </c>
      <c r="V311" s="32">
        <v>2.9168566411557122</v>
      </c>
      <c r="W311" s="33">
        <v>1.4134444444444445</v>
      </c>
      <c r="X311" s="33">
        <v>-3.4978073200000068</v>
      </c>
    </row>
    <row r="312" spans="1:24" x14ac:dyDescent="0.15">
      <c r="A312" s="29" t="s">
        <v>273</v>
      </c>
      <c r="B312" s="30">
        <v>37.701875000000001</v>
      </c>
      <c r="C312" s="31">
        <v>6.6481932021466919E-2</v>
      </c>
      <c r="D312" s="31">
        <v>0.10896969696969698</v>
      </c>
      <c r="E312" s="31">
        <v>0.20947206527546175</v>
      </c>
      <c r="F312" s="31">
        <v>3.9258620689655178E-3</v>
      </c>
      <c r="G312" s="31">
        <v>3.4873705179282867E-3</v>
      </c>
      <c r="H312" s="31">
        <v>3.5254948114401413E-2</v>
      </c>
      <c r="I312" s="31">
        <v>5.9366754617414257E-4</v>
      </c>
      <c r="J312" s="31">
        <v>2.8659922178988326E-3</v>
      </c>
      <c r="K312" s="31">
        <v>9.8788456302749787E-3</v>
      </c>
      <c r="L312" s="31">
        <v>9.1242593387720027E-3</v>
      </c>
      <c r="M312" s="31">
        <v>6.2319395017793582E-3</v>
      </c>
      <c r="N312" s="31">
        <v>2.2177611940298513E-2</v>
      </c>
      <c r="O312" s="31">
        <v>1.5580855564696204E-2</v>
      </c>
      <c r="P312" s="31">
        <v>0</v>
      </c>
      <c r="Q312" s="32">
        <v>9.736217127202325</v>
      </c>
      <c r="R312" s="32">
        <v>2.3211324002901019</v>
      </c>
      <c r="S312" s="32">
        <v>48.835279457166926</v>
      </c>
      <c r="T312" s="32">
        <v>33.87406779661017</v>
      </c>
      <c r="U312" s="32">
        <v>2.3228601194610357</v>
      </c>
      <c r="V312" s="32">
        <v>2.6322296641041794</v>
      </c>
      <c r="W312" s="33">
        <v>2.0403333333333333</v>
      </c>
      <c r="X312" s="33">
        <v>-3.7642394800000005</v>
      </c>
    </row>
    <row r="313" spans="1:24" x14ac:dyDescent="0.15">
      <c r="A313" s="29" t="s">
        <v>274</v>
      </c>
      <c r="B313" s="30">
        <v>37.782604166666665</v>
      </c>
      <c r="C313" s="31">
        <v>6.5531484794275507E-2</v>
      </c>
      <c r="D313" s="31">
        <v>0.11418181818181819</v>
      </c>
      <c r="E313" s="31">
        <v>0.2086901196393012</v>
      </c>
      <c r="F313" s="31">
        <v>3.6561724137931044E-3</v>
      </c>
      <c r="G313" s="31">
        <v>2.985498007968128E-3</v>
      </c>
      <c r="H313" s="31">
        <v>3.5115692229815233E-2</v>
      </c>
      <c r="I313" s="31">
        <v>5.9366754617414257E-4</v>
      </c>
      <c r="J313" s="31">
        <v>2.685058365758755E-3</v>
      </c>
      <c r="K313" s="31">
        <v>9.0403484889735892E-3</v>
      </c>
      <c r="L313" s="31">
        <v>8.7741949334478302E-3</v>
      </c>
      <c r="M313" s="31">
        <v>6.438523131672598E-3</v>
      </c>
      <c r="N313" s="31">
        <v>2.1721641791044782E-2</v>
      </c>
      <c r="O313" s="31">
        <v>1.3370255024092137E-2</v>
      </c>
      <c r="P313" s="31">
        <v>0</v>
      </c>
      <c r="Q313" s="32">
        <v>10.10119345760822</v>
      </c>
      <c r="R313" s="32">
        <v>2.3254438229175296</v>
      </c>
      <c r="S313" s="32">
        <v>51.350638176759183</v>
      </c>
      <c r="T313" s="32">
        <v>30.774902471356878</v>
      </c>
      <c r="U313" s="32">
        <v>2.4104310320877893</v>
      </c>
      <c r="V313" s="32">
        <v>2.6741015434744844</v>
      </c>
      <c r="W313" s="33">
        <v>1.8622222222222224</v>
      </c>
      <c r="X313" s="33">
        <v>-3.2151003799999991</v>
      </c>
    </row>
    <row r="314" spans="1:24" x14ac:dyDescent="0.15">
      <c r="A314" s="29" t="s">
        <v>275</v>
      </c>
      <c r="B314" s="30">
        <v>37.863333333333337</v>
      </c>
      <c r="C314" s="31">
        <v>7.0382468694096603E-2</v>
      </c>
      <c r="D314" s="31">
        <v>0.11490909090909089</v>
      </c>
      <c r="E314" s="31">
        <v>0.19949667308844238</v>
      </c>
      <c r="F314" s="31">
        <v>3.4820689655172426E-3</v>
      </c>
      <c r="G314" s="31">
        <v>5.8294422310756974E-3</v>
      </c>
      <c r="H314" s="31">
        <v>3.5707529739306507E-2</v>
      </c>
      <c r="I314" s="31">
        <v>5.5804749340369398E-4</v>
      </c>
      <c r="J314" s="31">
        <v>2.9600778210116729E-3</v>
      </c>
      <c r="K314" s="31">
        <v>9.2620201470187853E-3</v>
      </c>
      <c r="L314" s="31">
        <v>1.0163160154572776E-2</v>
      </c>
      <c r="M314" s="31">
        <v>5.9909252669039159E-3</v>
      </c>
      <c r="N314" s="31">
        <v>2.2565671641791053E-2</v>
      </c>
      <c r="O314" s="31">
        <v>1.0859090374897167E-2</v>
      </c>
      <c r="P314" s="31">
        <v>0</v>
      </c>
      <c r="Q314" s="32">
        <v>9.6468524673534315</v>
      </c>
      <c r="R314" s="32">
        <v>2.170920319914877</v>
      </c>
      <c r="S314" s="32">
        <v>46.708070633842851</v>
      </c>
      <c r="T314" s="32">
        <v>35.685026986080864</v>
      </c>
      <c r="U314" s="32">
        <v>2.3030128628976243</v>
      </c>
      <c r="V314" s="32">
        <v>2.5411826705896767</v>
      </c>
      <c r="W314" s="33">
        <v>2.0467777777777778</v>
      </c>
      <c r="X314" s="33">
        <v>-3.4056554199999987</v>
      </c>
    </row>
    <row r="315" spans="1:24" x14ac:dyDescent="0.15">
      <c r="A315" s="29" t="s">
        <v>276</v>
      </c>
      <c r="B315" s="30">
        <v>37.944062500000001</v>
      </c>
      <c r="C315" s="31">
        <v>6.7790339892665488E-2</v>
      </c>
      <c r="D315" s="31">
        <v>9.9151515151515143E-2</v>
      </c>
      <c r="E315" s="31">
        <v>0.18390244297301231</v>
      </c>
      <c r="F315" s="31">
        <v>3.3284482758620696E-3</v>
      </c>
      <c r="G315" s="31">
        <v>3.1031531018782016E-3</v>
      </c>
      <c r="H315" s="31">
        <v>3.5417413313085296E-2</v>
      </c>
      <c r="I315" s="31">
        <v>4.986807387862797E-4</v>
      </c>
      <c r="J315" s="31">
        <v>2.7791439688715958E-3</v>
      </c>
      <c r="K315" s="31">
        <v>9.2620201470187853E-3</v>
      </c>
      <c r="L315" s="31">
        <v>9.0452125375697686E-3</v>
      </c>
      <c r="M315" s="31">
        <v>5.8761565836298948E-3</v>
      </c>
      <c r="N315" s="31">
        <v>2.2672388059701495E-2</v>
      </c>
      <c r="O315" s="31">
        <v>1.1159654483488072E-2</v>
      </c>
      <c r="P315" s="31">
        <v>0</v>
      </c>
      <c r="Q315" s="32">
        <v>9.8048248871743908</v>
      </c>
      <c r="R315" s="32">
        <v>2.0813591112248764</v>
      </c>
      <c r="S315" s="32">
        <v>46.899023894172082</v>
      </c>
      <c r="T315" s="32">
        <v>36.778146482340681</v>
      </c>
      <c r="U315" s="32">
        <v>2.3676400889012359</v>
      </c>
      <c r="V315" s="32">
        <v>2.5220504085835311</v>
      </c>
      <c r="W315" s="33">
        <v>1.9503333333333335</v>
      </c>
      <c r="X315" s="33">
        <v>-3.6069749875000028</v>
      </c>
    </row>
    <row r="316" spans="1:24" x14ac:dyDescent="0.15">
      <c r="A316" s="29" t="s">
        <v>277</v>
      </c>
      <c r="B316" s="30">
        <v>38.024791666666665</v>
      </c>
      <c r="C316" s="31">
        <v>6.5025402504472279E-2</v>
      </c>
      <c r="D316" s="31">
        <v>0.13212121212121211</v>
      </c>
      <c r="E316" s="31">
        <v>0.20879065550680759</v>
      </c>
      <c r="F316" s="31">
        <v>5.0387586206896559E-3</v>
      </c>
      <c r="G316" s="31">
        <v>4.00211155378486E-3</v>
      </c>
      <c r="H316" s="31">
        <v>3.6775158187800548E-2</v>
      </c>
      <c r="I316" s="31">
        <v>6.0554089709762525E-4</v>
      </c>
      <c r="J316" s="31">
        <v>2.8949416342412444E-3</v>
      </c>
      <c r="K316" s="31">
        <v>8.8957800163354216E-3</v>
      </c>
      <c r="L316" s="31">
        <v>9.3388149420352042E-3</v>
      </c>
      <c r="M316" s="31">
        <v>6.8631672597864761E-3</v>
      </c>
      <c r="N316" s="31">
        <v>2.1420895522388062E-2</v>
      </c>
      <c r="O316" s="31">
        <v>1.0325831472558467E-2</v>
      </c>
      <c r="P316" s="31">
        <v>0</v>
      </c>
      <c r="Q316" s="32">
        <v>10.715212223094364</v>
      </c>
      <c r="R316" s="32">
        <v>2.5216532281338386</v>
      </c>
      <c r="S316" s="32">
        <v>49.291734725473383</v>
      </c>
      <c r="T316" s="32">
        <v>30.88580816210585</v>
      </c>
      <c r="U316" s="32">
        <v>2.5711551048756771</v>
      </c>
      <c r="V316" s="32">
        <v>2.954125269517021</v>
      </c>
      <c r="W316" s="33">
        <v>1.8251428571428572</v>
      </c>
      <c r="X316" s="33">
        <v>-3.4804393428571458</v>
      </c>
    </row>
    <row r="317" spans="1:24" x14ac:dyDescent="0.15">
      <c r="A317" s="29" t="s">
        <v>278</v>
      </c>
      <c r="B317" s="30">
        <v>38.105520833333337</v>
      </c>
      <c r="C317" s="31">
        <v>6.1742039355992859E-2</v>
      </c>
      <c r="D317" s="31">
        <v>0.12303030303030303</v>
      </c>
      <c r="E317" s="31">
        <v>0.2366279201541226</v>
      </c>
      <c r="F317" s="31">
        <v>4.0965517241379323E-3</v>
      </c>
      <c r="G317" s="31">
        <v>3.2814741035856573E-3</v>
      </c>
      <c r="H317" s="31">
        <v>3.4755947861300929E-2</v>
      </c>
      <c r="I317" s="31">
        <v>6.0554089709762525E-4</v>
      </c>
      <c r="J317" s="31">
        <v>2.7501945525291826E-3</v>
      </c>
      <c r="K317" s="31">
        <v>8.5295398856520561E-3</v>
      </c>
      <c r="L317" s="31">
        <v>8.4918849291541407E-3</v>
      </c>
      <c r="M317" s="31">
        <v>7.310765124555159E-3</v>
      </c>
      <c r="N317" s="31">
        <v>2.169253731343284E-2</v>
      </c>
      <c r="O317" s="31">
        <v>1.2963039135033494E-2</v>
      </c>
      <c r="P317" s="31">
        <v>0</v>
      </c>
      <c r="Q317" s="32">
        <v>10.834284376009558</v>
      </c>
      <c r="R317" s="32">
        <v>2.5168127965950702</v>
      </c>
      <c r="S317" s="32">
        <v>52.017542219776871</v>
      </c>
      <c r="T317" s="32">
        <v>25.067648896884762</v>
      </c>
      <c r="U317" s="32">
        <v>2.644566300875121</v>
      </c>
      <c r="V317" s="32">
        <v>3.0045175894568659</v>
      </c>
      <c r="W317" s="33">
        <v>1.596111111111111</v>
      </c>
      <c r="X317" s="33">
        <v>-3.4313070599999982</v>
      </c>
    </row>
    <row r="318" spans="1:24" x14ac:dyDescent="0.15">
      <c r="A318" s="29" t="s">
        <v>279</v>
      </c>
      <c r="B318" s="30">
        <v>38.186250000000001</v>
      </c>
      <c r="C318" s="31">
        <v>5.9809517015053146E-2</v>
      </c>
      <c r="D318" s="31">
        <v>0.13776570458404078</v>
      </c>
      <c r="E318" s="31">
        <v>0.27281508965201606</v>
      </c>
      <c r="F318" s="31">
        <v>4.9641428571428562E-3</v>
      </c>
      <c r="G318" s="31">
        <v>4.0429397192402964E-3</v>
      </c>
      <c r="H318" s="31">
        <v>3.6037638422818798E-2</v>
      </c>
      <c r="I318" s="31">
        <v>7.5989445910290218E-4</v>
      </c>
      <c r="J318" s="31">
        <v>2.8852193995381058E-3</v>
      </c>
      <c r="K318" s="31">
        <v>7.759169171904892E-3</v>
      </c>
      <c r="L318" s="31">
        <v>9.5030110935023799E-3</v>
      </c>
      <c r="M318" s="31">
        <v>8.4796665674307815E-3</v>
      </c>
      <c r="N318" s="31">
        <v>2.1593126856173102E-2</v>
      </c>
      <c r="O318" s="31">
        <v>1.4288244860030202E-2</v>
      </c>
      <c r="P318" s="31">
        <v>0</v>
      </c>
      <c r="Q318" s="32">
        <v>11.860384175217689</v>
      </c>
      <c r="R318" s="32">
        <v>2.9380483393855745</v>
      </c>
      <c r="S318" s="32">
        <v>55.260159671256638</v>
      </c>
      <c r="T318" s="32">
        <v>19.536110105470449</v>
      </c>
      <c r="U318" s="32">
        <v>2.8594727557333468</v>
      </c>
      <c r="V318" s="32">
        <v>3.4731722270926921</v>
      </c>
      <c r="W318" s="33">
        <v>1.4317777777777778</v>
      </c>
      <c r="X318" s="33">
        <v>-3.7375100399999965</v>
      </c>
    </row>
    <row r="319" spans="1:24" x14ac:dyDescent="0.15">
      <c r="A319" s="29" t="s">
        <v>280</v>
      </c>
      <c r="B319" s="30">
        <v>38.266979166666665</v>
      </c>
      <c r="C319" s="31">
        <v>6.6824213455090237E-2</v>
      </c>
      <c r="D319" s="31">
        <v>0.15463497453310701</v>
      </c>
      <c r="E319" s="31">
        <v>0.20630865791667341</v>
      </c>
      <c r="F319" s="31">
        <v>3.7026000000000008E-3</v>
      </c>
      <c r="G319" s="31">
        <v>3.5375722543352596E-3</v>
      </c>
      <c r="H319" s="31">
        <v>3.6349203020134231E-2</v>
      </c>
      <c r="I319" s="31">
        <v>5.9366754617414257E-4</v>
      </c>
      <c r="J319" s="31">
        <v>2.8351039260969971E-3</v>
      </c>
      <c r="K319" s="31">
        <v>9.3458321945886838E-3</v>
      </c>
      <c r="L319" s="31">
        <v>9.059688805647604E-3</v>
      </c>
      <c r="M319" s="31">
        <v>6.843643941649301E-3</v>
      </c>
      <c r="N319" s="31">
        <v>2.6398218073822657E-2</v>
      </c>
      <c r="O319" s="31">
        <v>1.2937042629806017E-2</v>
      </c>
      <c r="P319" s="31">
        <v>0</v>
      </c>
      <c r="Q319" s="32">
        <v>10.635640743658586</v>
      </c>
      <c r="R319" s="32">
        <v>2.4524117179248739</v>
      </c>
      <c r="S319" s="32">
        <v>49.002063891622072</v>
      </c>
      <c r="T319" s="32">
        <v>32.474084625736857</v>
      </c>
      <c r="U319" s="32">
        <v>2.387997366263324</v>
      </c>
      <c r="V319" s="32">
        <v>2.9657568328559645</v>
      </c>
      <c r="W319" s="33">
        <v>1.7944444444444443</v>
      </c>
      <c r="X319" s="33">
        <v>-3.3694413400000052</v>
      </c>
    </row>
    <row r="320" spans="1:24" x14ac:dyDescent="0.15">
      <c r="A320" s="29" t="s">
        <v>281</v>
      </c>
      <c r="B320" s="30">
        <v>38.347708333333337</v>
      </c>
      <c r="C320" s="31">
        <v>7.8121566669044726E-2</v>
      </c>
      <c r="D320" s="31">
        <v>0.13422071307300515</v>
      </c>
      <c r="E320" s="31">
        <v>0.23066916199473689</v>
      </c>
      <c r="F320" s="31">
        <v>4.8180000000000002E-3</v>
      </c>
      <c r="G320" s="31">
        <v>2.9109165978530136E-3</v>
      </c>
      <c r="H320" s="31">
        <v>3.7410830536912749E-2</v>
      </c>
      <c r="I320" s="31">
        <v>7.124010554089708E-4</v>
      </c>
      <c r="J320" s="31">
        <v>2.9782909930715926E-3</v>
      </c>
      <c r="K320" s="31">
        <v>9.0652637332604528E-3</v>
      </c>
      <c r="L320" s="31">
        <v>9.3097680449502965E-3</v>
      </c>
      <c r="M320" s="31">
        <v>7.2468889550461454E-3</v>
      </c>
      <c r="N320" s="31">
        <v>2.4343148069579976E-2</v>
      </c>
      <c r="O320" s="31">
        <v>1.1307933557904519E-2</v>
      </c>
      <c r="P320" s="31">
        <v>0</v>
      </c>
      <c r="Q320" s="32">
        <v>10.942924512309631</v>
      </c>
      <c r="R320" s="32">
        <v>2.8385127896555065</v>
      </c>
      <c r="S320" s="32">
        <v>49.720522608653745</v>
      </c>
      <c r="T320" s="32">
        <v>29.28421137945713</v>
      </c>
      <c r="U320" s="32">
        <v>2.5509608169553011</v>
      </c>
      <c r="V320" s="32">
        <v>3.0582047957782073</v>
      </c>
      <c r="W320" s="33">
        <v>1.68025</v>
      </c>
      <c r="X320" s="33">
        <v>-3.9171388825000015</v>
      </c>
    </row>
    <row r="321" spans="1:24" x14ac:dyDescent="0.15">
      <c r="A321" s="29" t="s">
        <v>282</v>
      </c>
      <c r="B321" s="30">
        <v>38.428437500000001</v>
      </c>
      <c r="C321" s="31">
        <v>6.4362916458585981E-2</v>
      </c>
      <c r="D321" s="31">
        <v>0.11343972835314096</v>
      </c>
      <c r="E321" s="31">
        <v>0.24718017031431325</v>
      </c>
      <c r="F321" s="31">
        <v>4.4055000000000006E-3</v>
      </c>
      <c r="G321" s="31">
        <v>3.3354252683732446E-3</v>
      </c>
      <c r="H321" s="31">
        <v>3.6349203020134238E-2</v>
      </c>
      <c r="I321" s="31">
        <v>6.6490765171503942E-4</v>
      </c>
      <c r="J321" s="31">
        <v>2.856581986143187E-3</v>
      </c>
      <c r="K321" s="31">
        <v>7.9333151134189667E-3</v>
      </c>
      <c r="L321" s="31">
        <v>8.934649185996256E-3</v>
      </c>
      <c r="M321" s="31">
        <v>7.362101816016672E-3</v>
      </c>
      <c r="N321" s="31">
        <v>2.2079592702588035E-2</v>
      </c>
      <c r="O321" s="31">
        <v>1.393367406202811E-2</v>
      </c>
      <c r="P321" s="31">
        <v>0</v>
      </c>
      <c r="Q321" s="32">
        <v>10.831164768610615</v>
      </c>
      <c r="R321" s="32">
        <v>2.5923016751313885</v>
      </c>
      <c r="S321" s="32">
        <v>52.133367874870942</v>
      </c>
      <c r="T321" s="32">
        <v>25.110554268048865</v>
      </c>
      <c r="U321" s="32">
        <v>2.5861219469774142</v>
      </c>
      <c r="V321" s="32">
        <v>3.0242898284611193</v>
      </c>
      <c r="W321" s="33">
        <v>1.4232222222222222</v>
      </c>
      <c r="X321" s="33">
        <v>-3.7029126599999991</v>
      </c>
    </row>
    <row r="322" spans="1:24" x14ac:dyDescent="0.15">
      <c r="A322" s="29" t="s">
        <v>283</v>
      </c>
      <c r="B322" s="30">
        <v>38.509166666666665</v>
      </c>
      <c r="C322" s="31">
        <v>6.7574909039024036E-2</v>
      </c>
      <c r="D322" s="31">
        <v>0.10793887945670634</v>
      </c>
      <c r="E322" s="31">
        <v>0.20973717330543792</v>
      </c>
      <c r="F322" s="31">
        <v>3.9175714285714291E-3</v>
      </c>
      <c r="G322" s="31">
        <v>3.5577869529314615E-3</v>
      </c>
      <c r="H322" s="31">
        <v>3.5137562919463093E-2</v>
      </c>
      <c r="I322" s="31">
        <v>5.9366754617414257E-4</v>
      </c>
      <c r="J322" s="31">
        <v>2.7921478060046181E-3</v>
      </c>
      <c r="K322" s="31">
        <v>8.7363213992894227E-3</v>
      </c>
      <c r="L322" s="31">
        <v>8.7527733755942971E-3</v>
      </c>
      <c r="M322" s="31">
        <v>6.463441500446563E-3</v>
      </c>
      <c r="N322" s="31">
        <v>2.2824183283835384E-2</v>
      </c>
      <c r="O322" s="31">
        <v>1.2457892902776165E-2</v>
      </c>
      <c r="P322" s="31">
        <v>0</v>
      </c>
      <c r="Q322" s="32">
        <v>10.180393939447208</v>
      </c>
      <c r="R322" s="32">
        <v>2.2908610368899192</v>
      </c>
      <c r="S322" s="32">
        <v>48.726567986160873</v>
      </c>
      <c r="T322" s="32">
        <v>32.303409795465591</v>
      </c>
      <c r="U322" s="32">
        <v>2.2774497478072901</v>
      </c>
      <c r="V322" s="32">
        <v>2.7141182039105267</v>
      </c>
      <c r="W322" s="33">
        <v>1.7891111111111111</v>
      </c>
      <c r="X322" s="33">
        <v>-3.6495615600000058</v>
      </c>
    </row>
    <row r="323" spans="1:24" x14ac:dyDescent="0.15">
      <c r="A323" s="29" t="s">
        <v>284</v>
      </c>
      <c r="B323" s="30">
        <v>38.589895833333337</v>
      </c>
      <c r="C323" s="31">
        <v>6.7759506313761833E-2</v>
      </c>
      <c r="D323" s="31">
        <v>0.13299830220713077</v>
      </c>
      <c r="E323" s="31">
        <v>0.20706428466353929</v>
      </c>
      <c r="F323" s="31">
        <v>3.8279999999999998E-3</v>
      </c>
      <c r="G323" s="31">
        <v>5.9464905037159366E-3</v>
      </c>
      <c r="H323" s="31">
        <v>3.3960541107382558E-2</v>
      </c>
      <c r="I323" s="31">
        <v>5.9366754617414257E-4</v>
      </c>
      <c r="J323" s="31">
        <v>2.8780600461893761E-3</v>
      </c>
      <c r="K323" s="31">
        <v>8.5138015851325514E-3</v>
      </c>
      <c r="L323" s="31">
        <v>9.5030110935023799E-3</v>
      </c>
      <c r="M323" s="31">
        <v>6.2675796367966663E-3</v>
      </c>
      <c r="N323" s="31">
        <v>2.2466779804836662E-2</v>
      </c>
      <c r="O323" s="31">
        <v>1.2841212684400046E-2</v>
      </c>
      <c r="P323" s="31">
        <v>0</v>
      </c>
      <c r="Q323" s="32">
        <v>9.7304877770078981</v>
      </c>
      <c r="R323" s="32">
        <v>2.450442561213197</v>
      </c>
      <c r="S323" s="32">
        <v>48.202034497234187</v>
      </c>
      <c r="T323" s="32">
        <v>34.308739729207971</v>
      </c>
      <c r="U323" s="32">
        <v>2.1789750788878677</v>
      </c>
      <c r="V323" s="32">
        <v>2.5918268448211359</v>
      </c>
      <c r="W323" s="33">
        <v>1.6773333333333331</v>
      </c>
      <c r="X323" s="33">
        <v>-3.4614854600000058</v>
      </c>
    </row>
    <row r="324" spans="1:24" x14ac:dyDescent="0.15">
      <c r="A324" s="29" t="s">
        <v>285</v>
      </c>
      <c r="B324" s="30">
        <v>38.670625000000001</v>
      </c>
      <c r="C324" s="31">
        <v>6.566740386673324E-2</v>
      </c>
      <c r="D324" s="31">
        <v>0.16551443123938886</v>
      </c>
      <c r="E324" s="31">
        <v>0.19932756901652471</v>
      </c>
      <c r="F324" s="31">
        <v>3.2835000000000004E-3</v>
      </c>
      <c r="G324" s="31">
        <v>2.0503480004718647E-3</v>
      </c>
      <c r="H324" s="31">
        <v>3.2818137583892626E-2</v>
      </c>
      <c r="I324" s="31">
        <v>5.9366754617414257E-4</v>
      </c>
      <c r="J324" s="31">
        <v>2.7563510392609697E-3</v>
      </c>
      <c r="K324" s="31">
        <v>9.0459141842033353E-3</v>
      </c>
      <c r="L324" s="31">
        <v>8.389021754790376E-3</v>
      </c>
      <c r="M324" s="31">
        <v>6.79755879726109E-3</v>
      </c>
      <c r="N324" s="31">
        <v>2.2347645311837083E-2</v>
      </c>
      <c r="O324" s="31">
        <v>1.1882913230340339E-2</v>
      </c>
      <c r="P324" s="31">
        <v>0</v>
      </c>
      <c r="Q324" s="32">
        <v>10.444377117246846</v>
      </c>
      <c r="R324" s="32">
        <v>2.5312312068435916</v>
      </c>
      <c r="S324" s="32">
        <v>48.022710749732674</v>
      </c>
      <c r="T324" s="32">
        <v>31.655214918070154</v>
      </c>
      <c r="U324" s="32">
        <v>2.3307630382388749</v>
      </c>
      <c r="V324" s="32">
        <v>2.8340243101464093</v>
      </c>
      <c r="W324" s="33">
        <v>1.7025555555555552</v>
      </c>
      <c r="X324" s="33">
        <v>-3.3860394600000028</v>
      </c>
    </row>
    <row r="325" spans="1:24" x14ac:dyDescent="0.15">
      <c r="A325" s="29" t="s">
        <v>286</v>
      </c>
      <c r="B325" s="30">
        <v>38.751354166666673</v>
      </c>
      <c r="C325" s="31">
        <v>6.6534309533988908E-2</v>
      </c>
      <c r="D325" s="31">
        <v>0.1355939086294416</v>
      </c>
      <c r="E325" s="31">
        <v>0.19684339474715803</v>
      </c>
      <c r="F325" s="31">
        <v>3.0298222748815179E-3</v>
      </c>
      <c r="G325" s="31">
        <v>1.9888456549935151E-3</v>
      </c>
      <c r="H325" s="31">
        <v>3.6150556922948572E-2</v>
      </c>
      <c r="I325" s="31">
        <v>5.9210526315789489E-4</v>
      </c>
      <c r="J325" s="31">
        <v>2.7822323462414573E-3</v>
      </c>
      <c r="K325" s="31">
        <v>8.9942934782608706E-3</v>
      </c>
      <c r="L325" s="31">
        <v>9.0590547828555204E-3</v>
      </c>
      <c r="M325" s="31">
        <v>6.7647737355811897E-3</v>
      </c>
      <c r="N325" s="31">
        <v>2.2188318144159065E-2</v>
      </c>
      <c r="O325" s="31">
        <v>9.495283018867923E-3</v>
      </c>
      <c r="P325" s="31">
        <v>0</v>
      </c>
      <c r="Q325" s="32">
        <v>10.77527393026701</v>
      </c>
      <c r="R325" s="32">
        <v>2.5595927281984974</v>
      </c>
      <c r="S325" s="32">
        <v>47.981000372568118</v>
      </c>
      <c r="T325" s="32">
        <v>33.842946148707682</v>
      </c>
      <c r="U325" s="32">
        <v>2.3440890435086557</v>
      </c>
      <c r="V325" s="32">
        <v>2.9185004140742774</v>
      </c>
      <c r="W325" s="33">
        <v>1.9995555555555553</v>
      </c>
      <c r="X325" s="33">
        <v>-3.3055278000000037</v>
      </c>
    </row>
    <row r="326" spans="1:24" x14ac:dyDescent="0.15">
      <c r="A326" s="29" t="s">
        <v>287</v>
      </c>
      <c r="B326" s="30">
        <v>38.832083333333337</v>
      </c>
      <c r="C326" s="31">
        <v>6.4309533988884171E-2</v>
      </c>
      <c r="D326" s="31">
        <v>0.14473096446700504</v>
      </c>
      <c r="E326" s="31">
        <v>0.2275994707957664</v>
      </c>
      <c r="F326" s="31">
        <v>3.9412322274881527E-3</v>
      </c>
      <c r="G326" s="31">
        <v>3.9915508615897726E-3</v>
      </c>
      <c r="H326" s="31">
        <v>3.9891852655291819E-2</v>
      </c>
      <c r="I326" s="31">
        <v>7.1052631578947362E-4</v>
      </c>
      <c r="J326" s="31">
        <v>2.8457858769931664E-3</v>
      </c>
      <c r="K326" s="31">
        <v>8.263206521739128E-3</v>
      </c>
      <c r="L326" s="31">
        <v>9.3613965370422936E-3</v>
      </c>
      <c r="M326" s="31">
        <v>7.6575865128660154E-3</v>
      </c>
      <c r="N326" s="31">
        <v>2.1926594863297431E-2</v>
      </c>
      <c r="O326" s="31">
        <v>1.0837853773584906E-2</v>
      </c>
      <c r="P326" s="31">
        <v>0</v>
      </c>
      <c r="Q326" s="32">
        <v>11.174458497118572</v>
      </c>
      <c r="R326" s="32">
        <v>2.8098984416611117</v>
      </c>
      <c r="S326" s="32">
        <v>49.895950866819895</v>
      </c>
      <c r="T326" s="32">
        <v>28.559379528287351</v>
      </c>
      <c r="U326" s="32">
        <v>2.5318807874321081</v>
      </c>
      <c r="V326" s="32">
        <v>3.1771649289703339</v>
      </c>
      <c r="W326" s="33">
        <v>1.427111111111111</v>
      </c>
      <c r="X326" s="33">
        <v>-3.343112225714286</v>
      </c>
    </row>
    <row r="327" spans="1:24" x14ac:dyDescent="0.15">
      <c r="A327" s="29" t="s">
        <v>288</v>
      </c>
      <c r="B327" s="30">
        <v>38.912812500000001</v>
      </c>
      <c r="C327" s="31">
        <v>6.4997862334330941E-2</v>
      </c>
      <c r="D327" s="31">
        <v>0.14692385786802023</v>
      </c>
      <c r="E327" s="31">
        <v>0.22056693453547632</v>
      </c>
      <c r="F327" s="31">
        <v>3.1283530805687209E-3</v>
      </c>
      <c r="G327" s="31">
        <v>4.3075486381322966E-3</v>
      </c>
      <c r="H327" s="31">
        <v>3.6712898919527781E-2</v>
      </c>
      <c r="I327" s="31">
        <v>7.1052631578947362E-4</v>
      </c>
      <c r="J327" s="31">
        <v>2.8457858769931656E-3</v>
      </c>
      <c r="K327" s="31">
        <v>8.1092934782608702E-3</v>
      </c>
      <c r="L327" s="31">
        <v>9.2718137950610277E-3</v>
      </c>
      <c r="M327" s="31">
        <v>7.4858917480035503E-3</v>
      </c>
      <c r="N327" s="31">
        <v>2.1945981772990879E-2</v>
      </c>
      <c r="O327" s="31">
        <v>9.3688089622641496E-3</v>
      </c>
      <c r="P327" s="31">
        <v>0</v>
      </c>
      <c r="Q327" s="32">
        <v>11.169553420943243</v>
      </c>
      <c r="R327" s="32">
        <v>2.9052542601407594</v>
      </c>
      <c r="S327" s="32">
        <v>49.238284241842258</v>
      </c>
      <c r="T327" s="32">
        <v>29.350329890550331</v>
      </c>
      <c r="U327" s="32">
        <v>2.5553626813543318</v>
      </c>
      <c r="V327" s="32">
        <v>3.1914532945448353</v>
      </c>
      <c r="W327" s="33">
        <v>1.4828888888888889</v>
      </c>
      <c r="X327" s="33">
        <v>-3.7515214400000048</v>
      </c>
    </row>
    <row r="328" spans="1:24" x14ac:dyDescent="0.15">
      <c r="A328" s="29" t="s">
        <v>289</v>
      </c>
      <c r="B328" s="30">
        <v>38.993541666666673</v>
      </c>
      <c r="C328" s="31">
        <v>6.5329734929457053E-2</v>
      </c>
      <c r="D328" s="31">
        <v>0.13997969543147198</v>
      </c>
      <c r="E328" s="31">
        <v>0.23273863190905528</v>
      </c>
      <c r="F328" s="31">
        <v>4.3723045023696698E-3</v>
      </c>
      <c r="G328" s="31">
        <v>3.5757643135075042E-3</v>
      </c>
      <c r="H328" s="31">
        <v>3.668994618497351E-2</v>
      </c>
      <c r="I328" s="31">
        <v>7.1052631578947362E-4</v>
      </c>
      <c r="J328" s="31">
        <v>2.9587699316628697E-3</v>
      </c>
      <c r="K328" s="31">
        <v>8.4171195652173909E-3</v>
      </c>
      <c r="L328" s="31">
        <v>9.4173857507805839E-3</v>
      </c>
      <c r="M328" s="31">
        <v>7.8750665483584732E-3</v>
      </c>
      <c r="N328" s="31">
        <v>2.0957249378624681E-2</v>
      </c>
      <c r="O328" s="31">
        <v>9.6801297169811316E-3</v>
      </c>
      <c r="P328" s="31">
        <v>0</v>
      </c>
      <c r="Q328" s="32">
        <v>11.220628659721646</v>
      </c>
      <c r="R328" s="32">
        <v>2.9350579184853425</v>
      </c>
      <c r="S328" s="32">
        <v>48.119606959836084</v>
      </c>
      <c r="T328" s="32">
        <v>28.032277118339241</v>
      </c>
      <c r="U328" s="32">
        <v>2.4905074234782356</v>
      </c>
      <c r="V328" s="32">
        <v>3.2855651158346246</v>
      </c>
      <c r="W328" s="33">
        <v>1.614888888888889</v>
      </c>
      <c r="X328" s="33">
        <v>-3.5527751200000033</v>
      </c>
    </row>
    <row r="329" spans="1:24" x14ac:dyDescent="0.15">
      <c r="A329" s="29" t="s">
        <v>290</v>
      </c>
      <c r="B329" s="30">
        <v>39.074270833333337</v>
      </c>
      <c r="C329" s="31">
        <v>6.4518490808037648E-2</v>
      </c>
      <c r="D329" s="31">
        <v>0.14192893401015225</v>
      </c>
      <c r="E329" s="31">
        <v>0.23090160721285777</v>
      </c>
      <c r="F329" s="31">
        <v>3.9412322274881527E-3</v>
      </c>
      <c r="G329" s="31">
        <v>3.9655642023346304E-3</v>
      </c>
      <c r="H329" s="31">
        <v>3.647189520670812E-2</v>
      </c>
      <c r="I329" s="31">
        <v>7.1052631578947362E-4</v>
      </c>
      <c r="J329" s="31">
        <v>2.9305239179954435E-3</v>
      </c>
      <c r="K329" s="31">
        <v>8.2151086956521735E-3</v>
      </c>
      <c r="L329" s="31">
        <v>9.7981124042009638E-3</v>
      </c>
      <c r="M329" s="31">
        <v>8.0009760425909515E-3</v>
      </c>
      <c r="N329" s="31">
        <v>2.1858740679370329E-2</v>
      </c>
      <c r="O329" s="31">
        <v>1.041951650943396E-2</v>
      </c>
      <c r="P329" s="31">
        <v>0</v>
      </c>
      <c r="Q329" s="32">
        <v>11.395891966758304</v>
      </c>
      <c r="R329" s="32">
        <v>2.9174617114929173</v>
      </c>
      <c r="S329" s="32">
        <v>49.030576986137021</v>
      </c>
      <c r="T329" s="32">
        <v>26.10517021221931</v>
      </c>
      <c r="U329" s="32">
        <v>2.6357844692697769</v>
      </c>
      <c r="V329" s="32">
        <v>3.3250643620070908</v>
      </c>
      <c r="W329" s="33">
        <v>1.4341111111111111</v>
      </c>
      <c r="X329" s="33">
        <v>-3.8308475200000025</v>
      </c>
    </row>
    <row r="330" spans="1:24" x14ac:dyDescent="0.15">
      <c r="A330" s="29" t="s">
        <v>291</v>
      </c>
      <c r="B330" s="30">
        <v>39.155000000000001</v>
      </c>
      <c r="C330" s="31">
        <v>6.375218340611355E-2</v>
      </c>
      <c r="D330" s="31">
        <v>0.13585585585585586</v>
      </c>
      <c r="E330" s="31">
        <v>0.23060518779829842</v>
      </c>
      <c r="F330" s="31">
        <v>5.2465554842847989E-3</v>
      </c>
      <c r="G330" s="31">
        <v>3.5957780332323119E-3</v>
      </c>
      <c r="H330" s="31">
        <v>3.7460870115621582E-2</v>
      </c>
      <c r="I330" s="31">
        <v>7.0698254364089791E-4</v>
      </c>
      <c r="J330" s="31">
        <v>2.8659476117103232E-3</v>
      </c>
      <c r="K330" s="31">
        <v>8.0618438234525986E-3</v>
      </c>
      <c r="L330" s="31">
        <v>9.1853731343283646E-3</v>
      </c>
      <c r="M330" s="31">
        <v>7.9974683544303815E-3</v>
      </c>
      <c r="N330" s="31">
        <v>2.1195581492288451E-2</v>
      </c>
      <c r="O330" s="31">
        <v>1.0224200090130689E-2</v>
      </c>
      <c r="P330" s="31">
        <v>0</v>
      </c>
      <c r="Q330" s="32">
        <v>11.579694485470222</v>
      </c>
      <c r="R330" s="32">
        <v>2.9845268969607401</v>
      </c>
      <c r="S330" s="32">
        <v>50.355743977984993</v>
      </c>
      <c r="T330" s="32">
        <v>28.395823236854255</v>
      </c>
      <c r="U330" s="32">
        <v>2.6132750995853988</v>
      </c>
      <c r="V330" s="32">
        <v>3.3352374009535559</v>
      </c>
      <c r="W330" s="33">
        <v>1.4073333333333331</v>
      </c>
      <c r="X330" s="33">
        <v>-3.6903793857142837</v>
      </c>
    </row>
    <row r="331" spans="1:24" x14ac:dyDescent="0.15">
      <c r="A331" s="29" t="s">
        <v>292</v>
      </c>
      <c r="B331" s="30">
        <v>39.235729166666673</v>
      </c>
      <c r="C331" s="31">
        <v>6.5268277041470743E-2</v>
      </c>
      <c r="D331" s="31">
        <v>0.13924873096446697</v>
      </c>
      <c r="E331" s="31">
        <v>0.21673510388083106</v>
      </c>
      <c r="F331" s="31">
        <v>3.8919668246445503E-3</v>
      </c>
      <c r="G331" s="31">
        <v>3.4732036316472122E-3</v>
      </c>
      <c r="H331" s="31">
        <v>3.6368607901213969E-2</v>
      </c>
      <c r="I331" s="31">
        <v>7.1052631578947362E-4</v>
      </c>
      <c r="J331" s="31">
        <v>2.8104783599088834E-3</v>
      </c>
      <c r="K331" s="31">
        <v>8.0419565217391305E-3</v>
      </c>
      <c r="L331" s="31">
        <v>9.1486375248367863E-3</v>
      </c>
      <c r="M331" s="31">
        <v>7.6690328305235147E-3</v>
      </c>
      <c r="N331" s="31">
        <v>2.0802154101077046E-2</v>
      </c>
      <c r="O331" s="31">
        <v>9.6606721698113216E-3</v>
      </c>
      <c r="P331" s="31">
        <v>0</v>
      </c>
      <c r="Q331" s="32">
        <v>11.347999487880122</v>
      </c>
      <c r="R331" s="32">
        <v>2.7731172053744606</v>
      </c>
      <c r="S331" s="32">
        <v>48.88738121198125</v>
      </c>
      <c r="T331" s="32">
        <v>29.593306613226449</v>
      </c>
      <c r="U331" s="32">
        <v>2.5286364393519447</v>
      </c>
      <c r="V331" s="32">
        <v>3.1933452105408433</v>
      </c>
      <c r="W331" s="33">
        <v>1.5310000000000001</v>
      </c>
      <c r="X331" s="33">
        <v>-3.6818955599999974</v>
      </c>
    </row>
    <row r="332" spans="1:24" x14ac:dyDescent="0.15">
      <c r="A332" s="29" t="s">
        <v>293</v>
      </c>
      <c r="B332" s="30">
        <v>39.316458333333337</v>
      </c>
      <c r="C332" s="31">
        <v>6.1838926891834151E-2</v>
      </c>
      <c r="D332" s="31">
        <v>0.11646700507614213</v>
      </c>
      <c r="E332" s="31">
        <v>0.24018816150529207</v>
      </c>
      <c r="F332" s="31">
        <v>3.9412322274881527E-3</v>
      </c>
      <c r="G332" s="31">
        <v>4.1878945092952875E-3</v>
      </c>
      <c r="H332" s="31">
        <v>3.6758804388636282E-2</v>
      </c>
      <c r="I332" s="31">
        <v>7.1052631578947362E-4</v>
      </c>
      <c r="J332" s="31">
        <v>2.8246013667425963E-3</v>
      </c>
      <c r="K332" s="31">
        <v>7.4166847826086946E-3</v>
      </c>
      <c r="L332" s="31">
        <v>8.2528101050241293E-3</v>
      </c>
      <c r="M332" s="31">
        <v>8.1955634427684099E-3</v>
      </c>
      <c r="N332" s="31">
        <v>2.0986329743164864E-2</v>
      </c>
      <c r="O332" s="31">
        <v>1.0769752358490566E-2</v>
      </c>
      <c r="P332" s="31">
        <v>0</v>
      </c>
      <c r="Q332" s="32">
        <v>11.685462685527577</v>
      </c>
      <c r="R332" s="32">
        <v>2.9592609782160837</v>
      </c>
      <c r="S332" s="32">
        <v>51.599733047952277</v>
      </c>
      <c r="T332" s="32">
        <v>25.541122758337188</v>
      </c>
      <c r="U332" s="32">
        <v>2.6648039475372958</v>
      </c>
      <c r="V332" s="32">
        <v>3.3796329390779931</v>
      </c>
      <c r="W332" s="33">
        <v>1.2324285714285714</v>
      </c>
      <c r="X332" s="33">
        <v>-3.685113562857147</v>
      </c>
    </row>
    <row r="333" spans="1:24" x14ac:dyDescent="0.15">
      <c r="A333" s="29" t="s">
        <v>294</v>
      </c>
      <c r="B333" s="30">
        <v>39.397187500000001</v>
      </c>
      <c r="C333" s="31">
        <v>6.0209867452135489E-2</v>
      </c>
      <c r="D333" s="31">
        <v>0.11388026607538804</v>
      </c>
      <c r="E333" s="31">
        <v>0.25587759773507612</v>
      </c>
      <c r="F333" s="31">
        <v>3.7190017513134858E-3</v>
      </c>
      <c r="G333" s="31">
        <v>3.7569060773480667E-3</v>
      </c>
      <c r="H333" s="31">
        <v>3.5943788362386445E-2</v>
      </c>
      <c r="I333" s="31">
        <v>7.1538461538461556E-4</v>
      </c>
      <c r="J333" s="31">
        <v>2.8084862385321092E-3</v>
      </c>
      <c r="K333" s="31">
        <v>8.0955737704918006E-3</v>
      </c>
      <c r="L333" s="31">
        <v>9.1663400085215153E-3</v>
      </c>
      <c r="M333" s="31">
        <v>7.9015982721382313E-3</v>
      </c>
      <c r="N333" s="31">
        <v>2.0665930018416202E-2</v>
      </c>
      <c r="O333" s="31">
        <v>1.0482084126709366E-2</v>
      </c>
      <c r="P333" s="31">
        <v>0</v>
      </c>
      <c r="Q333" s="32">
        <v>11.77171868188028</v>
      </c>
      <c r="R333" s="32">
        <v>2.8914239209259782</v>
      </c>
      <c r="S333" s="32">
        <v>52.11246127831911</v>
      </c>
      <c r="T333" s="32">
        <v>23.756438620427069</v>
      </c>
      <c r="U333" s="32">
        <v>2.6869773854154073</v>
      </c>
      <c r="V333" s="32">
        <v>3.3283872004809836</v>
      </c>
      <c r="W333" s="33">
        <v>1.0588888888888888</v>
      </c>
      <c r="X333" s="33">
        <v>-3.9951042400000034</v>
      </c>
    </row>
    <row r="334" spans="1:24" x14ac:dyDescent="0.15">
      <c r="A334" s="29" t="s">
        <v>295</v>
      </c>
      <c r="B334" s="30">
        <v>39.477916666666673</v>
      </c>
      <c r="C334" s="31">
        <v>6.1008310540711139E-2</v>
      </c>
      <c r="D334" s="31">
        <v>0.10465631929046565</v>
      </c>
      <c r="E334" s="31">
        <v>0.25130004216613455</v>
      </c>
      <c r="F334" s="31">
        <v>4.4580341506129609E-3</v>
      </c>
      <c r="G334" s="31">
        <v>3.8910812943962116E-3</v>
      </c>
      <c r="H334" s="31">
        <v>3.4469113675423525E-2</v>
      </c>
      <c r="I334" s="31">
        <v>6.9230769230769259E-4</v>
      </c>
      <c r="J334" s="31">
        <v>2.8013761467889898E-3</v>
      </c>
      <c r="K334" s="31">
        <v>7.8440983606557369E-3</v>
      </c>
      <c r="L334" s="31">
        <v>9.3568385172560688E-3</v>
      </c>
      <c r="M334" s="31">
        <v>7.7232829373650143E-3</v>
      </c>
      <c r="N334" s="31">
        <v>2.2466298342541435E-2</v>
      </c>
      <c r="O334" s="31">
        <v>1.2110091743119266E-2</v>
      </c>
      <c r="P334" s="31">
        <v>0</v>
      </c>
      <c r="Q334" s="32">
        <v>11.309398900857101</v>
      </c>
      <c r="R334" s="32">
        <v>2.9459146935302964</v>
      </c>
      <c r="S334" s="32">
        <v>51.9363408725158</v>
      </c>
      <c r="T334" s="32">
        <v>24.994331440175149</v>
      </c>
      <c r="U334" s="32">
        <v>2.463995162655702</v>
      </c>
      <c r="V334" s="32">
        <v>3.1470183166394579</v>
      </c>
      <c r="W334" s="33">
        <v>0.98785714285714299</v>
      </c>
      <c r="X334" s="33">
        <v>-4.0807893400000026</v>
      </c>
    </row>
    <row r="335" spans="1:24" x14ac:dyDescent="0.15">
      <c r="A335" s="29" t="s">
        <v>296</v>
      </c>
      <c r="B335" s="30">
        <v>39.558645833333337</v>
      </c>
      <c r="C335" s="31">
        <v>6.3282663580896292E-2</v>
      </c>
      <c r="D335" s="31">
        <v>0.10891352549889137</v>
      </c>
      <c r="E335" s="31">
        <v>0.24266586350219865</v>
      </c>
      <c r="F335" s="31">
        <v>4.3047785839379548E-3</v>
      </c>
      <c r="G335" s="31">
        <v>3.1620626151012896E-3</v>
      </c>
      <c r="H335" s="31">
        <v>3.4975681315983297E-2</v>
      </c>
      <c r="I335" s="31">
        <v>5.769230769230773E-4</v>
      </c>
      <c r="J335" s="31">
        <v>2.6449541284403661E-3</v>
      </c>
      <c r="K335" s="31">
        <v>8.0762295081967198E-3</v>
      </c>
      <c r="L335" s="31">
        <v>1.2718576906689387E-2</v>
      </c>
      <c r="M335" s="31">
        <v>6.2410367170626351E-3</v>
      </c>
      <c r="N335" s="31">
        <v>2.1029834254143648E-2</v>
      </c>
      <c r="O335" s="31">
        <v>1.3671455772892506E-2</v>
      </c>
      <c r="P335" s="31">
        <v>0</v>
      </c>
      <c r="Q335" s="32">
        <v>10.139858107383667</v>
      </c>
      <c r="R335" s="32">
        <v>2.3191734804561923</v>
      </c>
      <c r="S335" s="32">
        <v>51.946698972281361</v>
      </c>
      <c r="T335" s="32">
        <v>29.109200494970974</v>
      </c>
      <c r="U335" s="32">
        <v>2.2411169427984037</v>
      </c>
      <c r="V335" s="32">
        <v>2.6758723054248481</v>
      </c>
      <c r="W335" s="33">
        <v>1.1633333333333333</v>
      </c>
      <c r="X335" s="33">
        <v>-3.8733128399999934</v>
      </c>
    </row>
    <row r="336" spans="1:24" x14ac:dyDescent="0.15">
      <c r="A336" s="29" t="s">
        <v>297</v>
      </c>
      <c r="B336" s="30">
        <v>39.639375000000001</v>
      </c>
      <c r="C336" s="31">
        <v>6.1371239217336435E-2</v>
      </c>
      <c r="D336" s="31">
        <v>0.1128159645232816</v>
      </c>
      <c r="E336" s="31">
        <v>0.24299837359195223</v>
      </c>
      <c r="F336" s="31">
        <v>3.8779334500875658E-3</v>
      </c>
      <c r="G336" s="31">
        <v>5.8232044198895027E-3</v>
      </c>
      <c r="H336" s="31">
        <v>3.5459734839184867E-2</v>
      </c>
      <c r="I336" s="31">
        <v>6.1153846153846187E-4</v>
      </c>
      <c r="J336" s="31">
        <v>2.8013761467889906E-3</v>
      </c>
      <c r="K336" s="31">
        <v>8.5888524590163936E-3</v>
      </c>
      <c r="L336" s="31">
        <v>8.7405198125266297E-3</v>
      </c>
      <c r="M336" s="31">
        <v>6.553088552915769E-3</v>
      </c>
      <c r="N336" s="31">
        <v>2.2016206261510129E-2</v>
      </c>
      <c r="O336" s="31">
        <v>1.7622468409208933E-2</v>
      </c>
      <c r="P336" s="31">
        <v>0</v>
      </c>
      <c r="Q336" s="32">
        <v>10.20936075848406</v>
      </c>
      <c r="R336" s="32">
        <v>2.4269092256719706</v>
      </c>
      <c r="S336" s="32">
        <v>52.728408406694072</v>
      </c>
      <c r="T336" s="32">
        <v>26.297436177301147</v>
      </c>
      <c r="U336" s="32">
        <v>2.2811164590639743</v>
      </c>
      <c r="V336" s="32">
        <v>2.7011982013202007</v>
      </c>
      <c r="W336" s="33">
        <v>1.0231428571428571</v>
      </c>
      <c r="X336" s="33">
        <v>-4.0838071800000009</v>
      </c>
    </row>
    <row r="337" spans="1:24" x14ac:dyDescent="0.15">
      <c r="A337" s="29" t="s">
        <v>298</v>
      </c>
      <c r="B337" s="30">
        <v>39.720104166666665</v>
      </c>
      <c r="C337" s="31">
        <v>6.0270355564906376E-2</v>
      </c>
      <c r="D337" s="31">
        <v>0.10997782705099778</v>
      </c>
      <c r="E337" s="31">
        <v>0.22396771278838615</v>
      </c>
      <c r="F337" s="31">
        <v>3.4710683012259195E-3</v>
      </c>
      <c r="G337" s="31">
        <v>2.7394106813996319E-3</v>
      </c>
      <c r="H337" s="31">
        <v>3.3388436042229318E-2</v>
      </c>
      <c r="I337" s="31">
        <v>5.769230769230773E-4</v>
      </c>
      <c r="J337" s="31">
        <v>2.7089449541284395E-3</v>
      </c>
      <c r="K337" s="31">
        <v>8.830655737704916E-3</v>
      </c>
      <c r="L337" s="31">
        <v>8.8077545803152951E-3</v>
      </c>
      <c r="M337" s="31">
        <v>6.4304967602591811E-3</v>
      </c>
      <c r="N337" s="31">
        <v>2.1460773480662984E-2</v>
      </c>
      <c r="O337" s="31">
        <v>1.7727194045352258E-2</v>
      </c>
      <c r="P337" s="31">
        <v>0</v>
      </c>
      <c r="Q337" s="32">
        <v>10.227832724960615</v>
      </c>
      <c r="R337" s="32">
        <v>2.3713673093236771</v>
      </c>
      <c r="S337" s="32">
        <v>53.849176607853835</v>
      </c>
      <c r="T337" s="32">
        <v>25.142707364279591</v>
      </c>
      <c r="U337" s="32">
        <v>2.2760515177167737</v>
      </c>
      <c r="V337" s="32">
        <v>2.69656989925222</v>
      </c>
      <c r="W337" s="33">
        <v>0.9781428571428572</v>
      </c>
      <c r="X337" s="33">
        <v>-4.0458224285714266</v>
      </c>
    </row>
    <row r="338" spans="1:24" x14ac:dyDescent="0.15">
      <c r="A338" s="29" t="s">
        <v>299</v>
      </c>
      <c r="B338" s="30">
        <v>39.800833333333337</v>
      </c>
      <c r="C338" s="31">
        <v>6.1020408163265316E-2</v>
      </c>
      <c r="D338" s="31">
        <v>0.11754619364375465</v>
      </c>
      <c r="E338" s="31">
        <v>0.26059924100957765</v>
      </c>
      <c r="F338" s="31">
        <v>3.6594023642732058E-3</v>
      </c>
      <c r="G338" s="31">
        <v>3.8508287292817684E-3</v>
      </c>
      <c r="H338" s="31">
        <v>3.449162779278174E-2</v>
      </c>
      <c r="I338" s="31">
        <v>6.2307692307692335E-4</v>
      </c>
      <c r="J338" s="31">
        <v>2.6733944954128435E-3</v>
      </c>
      <c r="K338" s="31">
        <v>8.8886885245901635E-3</v>
      </c>
      <c r="L338" s="31">
        <v>9.4688964635705145E-3</v>
      </c>
      <c r="M338" s="31">
        <v>6.7425485961123133E-3</v>
      </c>
      <c r="N338" s="31">
        <v>2.1432044198895026E-2</v>
      </c>
      <c r="O338" s="31">
        <v>1.7812878656742255E-2</v>
      </c>
      <c r="P338" s="31">
        <v>0</v>
      </c>
      <c r="Q338" s="32">
        <v>10.231537130161875</v>
      </c>
      <c r="R338" s="32">
        <v>2.4206283173746397</v>
      </c>
      <c r="S338" s="32">
        <v>53.830488415224188</v>
      </c>
      <c r="T338" s="32">
        <v>23.421476282641116</v>
      </c>
      <c r="U338" s="32">
        <v>2.342582174386262</v>
      </c>
      <c r="V338" s="32">
        <v>2.7522501033364084</v>
      </c>
      <c r="W338" s="33">
        <v>1.0613333333333335</v>
      </c>
      <c r="X338" s="33">
        <v>-4.0279771400000008</v>
      </c>
    </row>
    <row r="339" spans="1:24" x14ac:dyDescent="0.15">
      <c r="A339" s="29" t="s">
        <v>300</v>
      </c>
      <c r="B339" s="30">
        <v>39.881562500000001</v>
      </c>
      <c r="C339" s="31">
        <v>5.886703134862193E-2</v>
      </c>
      <c r="D339" s="31">
        <v>0.10382852919438287</v>
      </c>
      <c r="E339" s="31">
        <v>0.26610782482982948</v>
      </c>
      <c r="F339" s="31">
        <v>3.623642732049038E-3</v>
      </c>
      <c r="G339" s="31">
        <v>2.0099447513812155E-3</v>
      </c>
      <c r="H339" s="31">
        <v>3.3388436042229318E-2</v>
      </c>
      <c r="I339" s="31">
        <v>5.769230769230773E-4</v>
      </c>
      <c r="J339" s="31">
        <v>2.6662844036697241E-3</v>
      </c>
      <c r="K339" s="31">
        <v>8.2019672131147525E-3</v>
      </c>
      <c r="L339" s="31">
        <v>7.7768214742224102E-3</v>
      </c>
      <c r="M339" s="31">
        <v>6.307904967602594E-3</v>
      </c>
      <c r="N339" s="31">
        <v>2.1795948434622469E-2</v>
      </c>
      <c r="O339" s="31">
        <v>1.9259996537995497E-2</v>
      </c>
      <c r="P339" s="31">
        <v>0</v>
      </c>
      <c r="Q339" s="32">
        <v>10.148117929791884</v>
      </c>
      <c r="R339" s="32">
        <v>2.3243383595932534</v>
      </c>
      <c r="S339" s="32">
        <v>54.274076763500162</v>
      </c>
      <c r="T339" s="32">
        <v>23.725078655963451</v>
      </c>
      <c r="U339" s="32">
        <v>2.3082508163018507</v>
      </c>
      <c r="V339" s="32">
        <v>2.6535742706954641</v>
      </c>
      <c r="W339" s="33">
        <v>0.95744444444444432</v>
      </c>
      <c r="X339" s="33">
        <v>-4.0032524080000016</v>
      </c>
    </row>
    <row r="340" spans="1:24" x14ac:dyDescent="0.15">
      <c r="A340" s="29" t="s">
        <v>301</v>
      </c>
      <c r="B340" s="30">
        <v>39.962291666666665</v>
      </c>
      <c r="C340" s="31">
        <v>6.0923775337837847E-2</v>
      </c>
      <c r="D340" s="31">
        <v>0.10446990007311724</v>
      </c>
      <c r="E340" s="31">
        <v>0.25427527580113668</v>
      </c>
      <c r="F340" s="31">
        <v>5.1876748582230627E-3</v>
      </c>
      <c r="G340" s="31">
        <v>3.4280065897858317E-3</v>
      </c>
      <c r="H340" s="31">
        <v>3.2888779708898856E-2</v>
      </c>
      <c r="I340" s="31">
        <v>5.9073359073359103E-4</v>
      </c>
      <c r="J340" s="31">
        <v>2.796777905638665E-3</v>
      </c>
      <c r="K340" s="31">
        <v>8.920349761526232E-3</v>
      </c>
      <c r="L340" s="31">
        <v>8.7778915919760996E-3</v>
      </c>
      <c r="M340" s="31">
        <v>6.1883994766681197E-3</v>
      </c>
      <c r="N340" s="31">
        <v>2.2524736515809048E-2</v>
      </c>
      <c r="O340" s="31">
        <v>1.6757079495052889E-2</v>
      </c>
      <c r="P340" s="31">
        <v>0</v>
      </c>
      <c r="Q340" s="32">
        <v>9.8715654339983256</v>
      </c>
      <c r="R340" s="32">
        <v>2.3423180866322779</v>
      </c>
      <c r="S340" s="32">
        <v>54.684151925454103</v>
      </c>
      <c r="T340" s="32">
        <v>24.91672120886982</v>
      </c>
      <c r="U340" s="32">
        <v>2.2714924257043618</v>
      </c>
      <c r="V340" s="32">
        <v>2.5282567694946079</v>
      </c>
      <c r="W340" s="33">
        <v>0.90422222222222226</v>
      </c>
      <c r="X340" s="33">
        <v>-4.1230390999999962</v>
      </c>
    </row>
    <row r="341" spans="1:24" x14ac:dyDescent="0.15">
      <c r="A341" s="29" t="s">
        <v>302</v>
      </c>
      <c r="B341" s="30">
        <v>40.043020833333337</v>
      </c>
      <c r="C341" s="31">
        <v>6.2939189189189199E-2</v>
      </c>
      <c r="D341" s="31">
        <v>0.12646356324640506</v>
      </c>
      <c r="E341" s="31">
        <v>0.27161946606810261</v>
      </c>
      <c r="F341" s="31">
        <v>4.9406427221172023E-3</v>
      </c>
      <c r="G341" s="31">
        <v>4.9403624382207577E-3</v>
      </c>
      <c r="H341" s="31">
        <v>3.3496996867899038E-2</v>
      </c>
      <c r="I341" s="31">
        <v>5.7915057915057955E-4</v>
      </c>
      <c r="J341" s="31">
        <v>2.6255466052934411E-3</v>
      </c>
      <c r="K341" s="31">
        <v>8.2543720190779001E-3</v>
      </c>
      <c r="L341" s="31">
        <v>8.1717456252667527E-3</v>
      </c>
      <c r="M341" s="31">
        <v>6.2109027474923683E-3</v>
      </c>
      <c r="N341" s="31">
        <v>2.3704649721016737E-2</v>
      </c>
      <c r="O341" s="31">
        <v>2.2011258955987722E-2</v>
      </c>
      <c r="P341" s="31">
        <v>0</v>
      </c>
      <c r="Q341" s="32">
        <v>9.6253699104581294</v>
      </c>
      <c r="R341" s="32">
        <v>2.2231514708721143</v>
      </c>
      <c r="S341" s="32">
        <v>54.157917391490855</v>
      </c>
      <c r="T341" s="32">
        <v>26.141917024320463</v>
      </c>
      <c r="U341" s="32">
        <v>2.2134689791586259</v>
      </c>
      <c r="V341" s="32">
        <v>2.5195238826856232</v>
      </c>
      <c r="W341" s="33">
        <v>1.0057777777777777</v>
      </c>
      <c r="X341" s="33">
        <v>-4.3873156599999987</v>
      </c>
    </row>
    <row r="342" spans="1:24" x14ac:dyDescent="0.15">
      <c r="A342" s="29" t="s">
        <v>303</v>
      </c>
      <c r="B342" s="30">
        <v>40.123750000000001</v>
      </c>
      <c r="C342" s="31">
        <v>6.2514252533783801E-2</v>
      </c>
      <c r="D342" s="31">
        <v>0.12552766268583965</v>
      </c>
      <c r="E342" s="31">
        <v>0.29262142413677822</v>
      </c>
      <c r="F342" s="31">
        <v>5.5729273561976773E-3</v>
      </c>
      <c r="G342" s="31">
        <v>4.4362438220757819E-3</v>
      </c>
      <c r="H342" s="31">
        <v>3.4735957747343858E-2</v>
      </c>
      <c r="I342" s="31">
        <v>6.8339768339768358E-4</v>
      </c>
      <c r="J342" s="31">
        <v>2.7468354430379752E-3</v>
      </c>
      <c r="K342" s="31">
        <v>8.048012718600955E-3</v>
      </c>
      <c r="L342" s="31">
        <v>8.5982927870251816E-3</v>
      </c>
      <c r="M342" s="31">
        <v>6.6722197993894462E-3</v>
      </c>
      <c r="N342" s="31">
        <v>2.1422194668319905E-2</v>
      </c>
      <c r="O342" s="31">
        <v>2.0200443534629825E-2</v>
      </c>
      <c r="P342" s="31">
        <v>0</v>
      </c>
      <c r="Q342" s="32">
        <v>10.158027700839282</v>
      </c>
      <c r="R342" s="32">
        <v>2.4580464609392374</v>
      </c>
      <c r="S342" s="32">
        <v>54.540005538806454</v>
      </c>
      <c r="T342" s="32">
        <v>22.694552038626611</v>
      </c>
      <c r="U342" s="32">
        <v>2.4098711887302202</v>
      </c>
      <c r="V342" s="32">
        <v>2.7386203975533894</v>
      </c>
      <c r="W342" s="33">
        <v>0.9191111111111111</v>
      </c>
      <c r="X342" s="33">
        <v>-4.2432138000000066</v>
      </c>
    </row>
    <row r="343" spans="1:24" x14ac:dyDescent="0.15">
      <c r="A343" s="29" t="s">
        <v>304</v>
      </c>
      <c r="B343" s="30">
        <v>40.144239999999996</v>
      </c>
      <c r="C343" s="31">
        <v>6.2380701013513513E-2</v>
      </c>
      <c r="D343" s="31">
        <v>0.10809651474530832</v>
      </c>
      <c r="E343" s="31">
        <v>0.27525526529442662</v>
      </c>
      <c r="F343" s="31">
        <v>4.796540642722117E-3</v>
      </c>
      <c r="G343" s="31">
        <v>4.3152553542009885E-3</v>
      </c>
      <c r="H343" s="31">
        <v>3.3102782042621147E-2</v>
      </c>
      <c r="I343" s="31">
        <v>6.1389961389961419E-4</v>
      </c>
      <c r="J343" s="31">
        <v>2.7539700805523592E-3</v>
      </c>
      <c r="K343" s="31">
        <v>8.2637519872814022E-3</v>
      </c>
      <c r="L343" s="31">
        <v>8.8901408450704229E-3</v>
      </c>
      <c r="M343" s="31">
        <v>7.0097688617531623E-3</v>
      </c>
      <c r="N343" s="31">
        <v>2.3685306881587105E-2</v>
      </c>
      <c r="O343" s="31">
        <v>2.0388092801091783E-2</v>
      </c>
      <c r="P343" s="31">
        <v>0</v>
      </c>
      <c r="Q343" s="32">
        <v>10.611570480815571</v>
      </c>
      <c r="R343" s="32">
        <v>2.4279650675508924</v>
      </c>
      <c r="S343" s="32">
        <v>53.573139728609476</v>
      </c>
      <c r="T343" s="32">
        <v>22.493416487839777</v>
      </c>
      <c r="U343" s="32">
        <v>2.3628425318409878</v>
      </c>
      <c r="V343" s="32">
        <v>2.9240114108702242</v>
      </c>
      <c r="W343" s="33">
        <v>0.83788888888888879</v>
      </c>
      <c r="X343" s="33">
        <v>-3.9942727942857097</v>
      </c>
    </row>
    <row r="344" spans="1:24" x14ac:dyDescent="0.15">
      <c r="A344" s="29" t="s">
        <v>305</v>
      </c>
      <c r="B344" s="30">
        <v>40.187525714285712</v>
      </c>
      <c r="C344" s="31">
        <v>7.0818728885135143E-2</v>
      </c>
      <c r="D344" s="31">
        <v>0.10271508652205706</v>
      </c>
      <c r="E344" s="31">
        <v>0.20088065332632885</v>
      </c>
      <c r="F344" s="31">
        <v>3.5878476910613014E-3</v>
      </c>
      <c r="G344" s="31">
        <v>9.5782537067545294E-4</v>
      </c>
      <c r="H344" s="31">
        <v>3.2674777375176572E-2</v>
      </c>
      <c r="I344" s="31">
        <v>4.6332046332046357E-4</v>
      </c>
      <c r="J344" s="31">
        <v>2.6540851553509782E-3</v>
      </c>
      <c r="K344" s="31">
        <v>8.8922098569157379E-3</v>
      </c>
      <c r="L344" s="31">
        <v>9.3279129321382839E-3</v>
      </c>
      <c r="M344" s="31">
        <v>5.1645006541648506E-3</v>
      </c>
      <c r="N344" s="31">
        <v>2.8617730936143837E-2</v>
      </c>
      <c r="O344" s="31">
        <v>2.1260661890139886E-2</v>
      </c>
      <c r="P344" s="31">
        <v>0</v>
      </c>
      <c r="Q344" s="32">
        <v>8.3180343205936591</v>
      </c>
      <c r="R344" s="32">
        <v>1.760405378658854</v>
      </c>
      <c r="S344" s="32">
        <v>50.286107535809371</v>
      </c>
      <c r="T344" s="32">
        <v>30.878339592274678</v>
      </c>
      <c r="U344" s="32">
        <v>1.8705663836356616</v>
      </c>
      <c r="V344" s="32">
        <v>2.0340958297172613</v>
      </c>
      <c r="W344" s="33">
        <v>1.1925714285714286</v>
      </c>
      <c r="X344" s="33">
        <v>-4.0888728400000005</v>
      </c>
    </row>
    <row r="345" spans="1:24" x14ac:dyDescent="0.15">
      <c r="A345" s="29" t="s">
        <v>306</v>
      </c>
      <c r="B345" s="30">
        <v>40.230811428571428</v>
      </c>
      <c r="C345" s="31">
        <v>6.5974451013513527E-2</v>
      </c>
      <c r="D345" s="31">
        <v>0.11394589324884234</v>
      </c>
      <c r="E345" s="31">
        <v>0.22164095706576242</v>
      </c>
      <c r="F345" s="31">
        <v>5.1170942479071019E-3</v>
      </c>
      <c r="G345" s="31">
        <v>2.621416803953871E-3</v>
      </c>
      <c r="H345" s="31">
        <v>3.4229110114843697E-2</v>
      </c>
      <c r="I345" s="31">
        <v>5.7915057915057955E-4</v>
      </c>
      <c r="J345" s="31">
        <v>2.8039125431530494E-3</v>
      </c>
      <c r="K345" s="31">
        <v>9.3330683624801274E-3</v>
      </c>
      <c r="L345" s="31">
        <v>9.0921895006402052E-3</v>
      </c>
      <c r="M345" s="31">
        <v>6.2446576537287402E-3</v>
      </c>
      <c r="N345" s="31">
        <v>2.2311965282083082E-2</v>
      </c>
      <c r="O345" s="31">
        <v>1.7920504947117027E-2</v>
      </c>
      <c r="P345" s="31">
        <v>0</v>
      </c>
      <c r="Q345" s="32">
        <v>10.009866863171984</v>
      </c>
      <c r="R345" s="32">
        <v>2.2937577550965553</v>
      </c>
      <c r="S345" s="32">
        <v>49.733717056082732</v>
      </c>
      <c r="T345" s="32">
        <v>29.845142167381983</v>
      </c>
      <c r="U345" s="32">
        <v>2.2509134986491701</v>
      </c>
      <c r="V345" s="32">
        <v>2.6408056124207402</v>
      </c>
      <c r="W345" s="33">
        <v>1.2044444444444444</v>
      </c>
      <c r="X345" s="33">
        <v>-3.440576140000001</v>
      </c>
    </row>
    <row r="346" spans="1:24" x14ac:dyDescent="0.15">
      <c r="A346" s="29" t="s">
        <v>307</v>
      </c>
      <c r="B346" s="30">
        <v>40.274097142857137</v>
      </c>
      <c r="C346" s="31">
        <v>6.5355257601351371E-2</v>
      </c>
      <c r="D346" s="31">
        <v>0.131611016329515</v>
      </c>
      <c r="E346" s="31">
        <v>0.23175748603085153</v>
      </c>
      <c r="F346" s="31">
        <v>4.614697542533081E-3</v>
      </c>
      <c r="G346" s="31">
        <v>3.4078418451400322E-3</v>
      </c>
      <c r="H346" s="31">
        <v>3.4330479641343739E-2</v>
      </c>
      <c r="I346" s="31">
        <v>6.2548262548262578E-4</v>
      </c>
      <c r="J346" s="31">
        <v>2.8395857307249714E-3</v>
      </c>
      <c r="K346" s="31">
        <v>8.8265500794912546E-3</v>
      </c>
      <c r="L346" s="31">
        <v>8.4972684592402904E-3</v>
      </c>
      <c r="M346" s="31">
        <v>6.7397296118621892E-3</v>
      </c>
      <c r="N346" s="31">
        <v>2.250539367637942E-2</v>
      </c>
      <c r="O346" s="31">
        <v>1.4158137154554763E-2</v>
      </c>
      <c r="P346" s="31">
        <v>0</v>
      </c>
      <c r="Q346" s="32">
        <v>10.316797142174506</v>
      </c>
      <c r="R346" s="32">
        <v>2.4436109977592992</v>
      </c>
      <c r="S346" s="32">
        <v>50.223501030060881</v>
      </c>
      <c r="T346" s="32">
        <v>26.069478719599431</v>
      </c>
      <c r="U346" s="32">
        <v>2.4721577093786178</v>
      </c>
      <c r="V346" s="32">
        <v>2.7266288103711021</v>
      </c>
      <c r="W346" s="33">
        <v>1.0417777777777777</v>
      </c>
      <c r="X346" s="33">
        <v>-3.3842071999999987</v>
      </c>
    </row>
    <row r="347" spans="1:24" x14ac:dyDescent="0.15">
      <c r="A347" s="29" t="s">
        <v>308</v>
      </c>
      <c r="B347" s="30">
        <v>40.317382857142853</v>
      </c>
      <c r="C347" s="31">
        <v>6.2290972322851766E-2</v>
      </c>
      <c r="D347" s="31">
        <v>0.1399931717309662</v>
      </c>
      <c r="E347" s="31">
        <v>0.25056318264251892</v>
      </c>
      <c r="F347" s="31">
        <v>4.2301792828685261E-3</v>
      </c>
      <c r="G347" s="31">
        <v>4.0062015503875958E-3</v>
      </c>
      <c r="H347" s="31">
        <v>3.6438150481993073E-2</v>
      </c>
      <c r="I347" s="31">
        <v>7.6329113924050664E-4</v>
      </c>
      <c r="J347" s="31">
        <v>2.722121896162528E-3</v>
      </c>
      <c r="K347" s="31">
        <v>7.9234321700341129E-3</v>
      </c>
      <c r="L347" s="31">
        <v>8.9399061700312782E-3</v>
      </c>
      <c r="M347" s="31">
        <v>7.4553415061295964E-3</v>
      </c>
      <c r="N347" s="31">
        <v>2.148649308380797E-2</v>
      </c>
      <c r="O347" s="31">
        <v>1.3846282094031341E-2</v>
      </c>
      <c r="P347" s="31">
        <v>0</v>
      </c>
      <c r="Q347" s="32">
        <v>11.003205914050497</v>
      </c>
      <c r="R347" s="32">
        <v>2.9709224562340126</v>
      </c>
      <c r="S347" s="32">
        <v>52.482849585259601</v>
      </c>
      <c r="T347" s="32">
        <v>26.495833863359305</v>
      </c>
      <c r="U347" s="32">
        <v>2.7110918230507854</v>
      </c>
      <c r="V347" s="32">
        <v>3.0504114164241489</v>
      </c>
      <c r="W347" s="33">
        <v>1.0872222222222223</v>
      </c>
      <c r="X347" s="33">
        <v>-3.1687857742857126</v>
      </c>
    </row>
    <row r="348" spans="1:24" x14ac:dyDescent="0.15">
      <c r="A348" s="29" t="s">
        <v>309</v>
      </c>
      <c r="B348" s="30">
        <v>40.360668571428569</v>
      </c>
      <c r="C348" s="31">
        <v>6.2915881756267222E-2</v>
      </c>
      <c r="D348" s="31">
        <v>0.14134516899965857</v>
      </c>
      <c r="E348" s="31">
        <v>0.25300924824184928</v>
      </c>
      <c r="F348" s="31">
        <v>5.3320966135458172E-3</v>
      </c>
      <c r="G348" s="31">
        <v>4.4542635658914717E-3</v>
      </c>
      <c r="H348" s="31">
        <v>3.7368046571798194E-2</v>
      </c>
      <c r="I348" s="31">
        <v>7.405063291139242E-4</v>
      </c>
      <c r="J348" s="31">
        <v>2.6801354401805861E-3</v>
      </c>
      <c r="K348" s="31">
        <v>8.0256100760955126E-3</v>
      </c>
      <c r="L348" s="31">
        <v>9.0296417401194221E-3</v>
      </c>
      <c r="M348" s="31">
        <v>7.3875656742556899E-3</v>
      </c>
      <c r="N348" s="31">
        <v>2.1296094385679417E-2</v>
      </c>
      <c r="O348" s="31">
        <v>1.5295098366122041E-2</v>
      </c>
      <c r="P348" s="31">
        <v>0</v>
      </c>
      <c r="Q348" s="32">
        <v>10.804488109438974</v>
      </c>
      <c r="R348" s="32">
        <v>2.9240452071133878</v>
      </c>
      <c r="S348" s="32">
        <v>53.658502142069878</v>
      </c>
      <c r="T348" s="32">
        <v>25.397113611066949</v>
      </c>
      <c r="U348" s="32">
        <v>2.6708791516178656</v>
      </c>
      <c r="V348" s="32">
        <v>2.9498691603051279</v>
      </c>
      <c r="W348" s="33">
        <v>0.84339999999999993</v>
      </c>
      <c r="X348" s="33">
        <v>-3.5110642599999977</v>
      </c>
    </row>
    <row r="349" spans="1:24" x14ac:dyDescent="0.15">
      <c r="A349" s="29" t="s">
        <v>310</v>
      </c>
      <c r="B349" s="30">
        <v>40.403954285714285</v>
      </c>
      <c r="C349" s="31">
        <v>6.130361541805536E-2</v>
      </c>
      <c r="D349" s="31">
        <v>0.13630590645271423</v>
      </c>
      <c r="E349" s="31">
        <v>0.25813919137377828</v>
      </c>
      <c r="F349" s="31">
        <v>4.5703685258964141E-3</v>
      </c>
      <c r="G349" s="31">
        <v>3.8773471145564162E-3</v>
      </c>
      <c r="H349" s="31">
        <v>3.5496774193548401E-2</v>
      </c>
      <c r="I349" s="31">
        <v>6.8354430379746853E-4</v>
      </c>
      <c r="J349" s="31">
        <v>2.7081264108352143E-3</v>
      </c>
      <c r="K349" s="31">
        <v>7.9327210705851491E-3</v>
      </c>
      <c r="L349" s="31">
        <v>9.3773670742109787E-3</v>
      </c>
      <c r="M349" s="31">
        <v>7.1616462346760076E-3</v>
      </c>
      <c r="N349" s="31">
        <v>2.1334174125305128E-2</v>
      </c>
      <c r="O349" s="31">
        <v>1.5478492830943645E-2</v>
      </c>
      <c r="P349" s="31">
        <v>0</v>
      </c>
      <c r="Q349" s="32">
        <v>10.629319360980134</v>
      </c>
      <c r="R349" s="32">
        <v>2.6784805405661105</v>
      </c>
      <c r="S349" s="32">
        <v>53.743947435607083</v>
      </c>
      <c r="T349" s="32">
        <v>24.780128001272065</v>
      </c>
      <c r="U349" s="32">
        <v>2.6024465030563801</v>
      </c>
      <c r="V349" s="32">
        <v>2.8604299321420137</v>
      </c>
      <c r="W349" s="33">
        <v>0.73522222222222211</v>
      </c>
      <c r="X349" s="33">
        <v>-3.696984760000003</v>
      </c>
    </row>
    <row r="350" spans="1:24" x14ac:dyDescent="0.15">
      <c r="A350" s="29" t="s">
        <v>311</v>
      </c>
      <c r="B350" s="30">
        <v>40.447239999999994</v>
      </c>
      <c r="C350" s="31">
        <v>6.0466236777278658E-2</v>
      </c>
      <c r="D350" s="31">
        <v>0.11442813246841925</v>
      </c>
      <c r="E350" s="31">
        <v>0.24553515891056202</v>
      </c>
      <c r="F350" s="31">
        <v>4.3485059760956183E-3</v>
      </c>
      <c r="G350" s="31">
        <v>3.147729789590254E-3</v>
      </c>
      <c r="H350" s="31">
        <v>3.336145724658849E-2</v>
      </c>
      <c r="I350" s="31">
        <v>6.8354430379746853E-4</v>
      </c>
      <c r="J350" s="31">
        <v>2.67313769751693E-3</v>
      </c>
      <c r="K350" s="31">
        <v>7.6726318551561265E-3</v>
      </c>
      <c r="L350" s="31">
        <v>8.917472277509244E-3</v>
      </c>
      <c r="M350" s="31">
        <v>7.150350262697021E-3</v>
      </c>
      <c r="N350" s="31">
        <v>2.0801057770545157E-2</v>
      </c>
      <c r="O350" s="31">
        <v>1.3873791263754584E-2</v>
      </c>
      <c r="P350" s="31">
        <v>0</v>
      </c>
      <c r="Q350" s="32">
        <v>10.508102103989053</v>
      </c>
      <c r="R350" s="32">
        <v>2.5335884392243253</v>
      </c>
      <c r="S350" s="32">
        <v>52.344357920541832</v>
      </c>
      <c r="T350" s="32">
        <v>25.008124238087667</v>
      </c>
      <c r="U350" s="32">
        <v>2.5282616064303283</v>
      </c>
      <c r="V350" s="32">
        <v>2.818554713946293</v>
      </c>
      <c r="W350" s="33">
        <v>0.9615555555555555</v>
      </c>
      <c r="X350" s="33">
        <v>-3.5180699600000054</v>
      </c>
    </row>
    <row r="351" spans="1:24" x14ac:dyDescent="0.15">
      <c r="A351" s="29" t="s">
        <v>312</v>
      </c>
      <c r="B351" s="30">
        <v>40.49052571428571</v>
      </c>
      <c r="C351" s="31">
        <v>6.3440805680336207E-2</v>
      </c>
      <c r="D351" s="31">
        <v>0.12352338682144076</v>
      </c>
      <c r="E351" s="31">
        <v>0.24424417984424873</v>
      </c>
      <c r="F351" s="31">
        <v>4.185806772908366E-3</v>
      </c>
      <c r="G351" s="31">
        <v>3.5423255813953475E-3</v>
      </c>
      <c r="H351" s="31">
        <v>3.8550507031673842E-2</v>
      </c>
      <c r="I351" s="31">
        <v>6.8354430379746853E-4</v>
      </c>
      <c r="J351" s="31">
        <v>2.7431151241534986E-3</v>
      </c>
      <c r="K351" s="31">
        <v>8.7408554185253191E-3</v>
      </c>
      <c r="L351" s="31">
        <v>9.5456212681262458E-3</v>
      </c>
      <c r="M351" s="31">
        <v>7.2068301225919444E-3</v>
      </c>
      <c r="N351" s="31">
        <v>1.9991863303498773E-2</v>
      </c>
      <c r="O351" s="31">
        <v>1.5790263421140382E-2</v>
      </c>
      <c r="P351" s="31">
        <v>0</v>
      </c>
      <c r="Q351" s="32">
        <v>10.762914968000187</v>
      </c>
      <c r="R351" s="32">
        <v>2.500787720181517</v>
      </c>
      <c r="S351" s="32">
        <v>51.991506199364025</v>
      </c>
      <c r="T351" s="32">
        <v>24.970067048285372</v>
      </c>
      <c r="U351" s="32">
        <v>2.6246276810175311</v>
      </c>
      <c r="V351" s="32">
        <v>2.880417578907347</v>
      </c>
      <c r="W351" s="33">
        <v>0.81857142857142862</v>
      </c>
      <c r="X351" s="33">
        <v>-3.6186287000000021</v>
      </c>
    </row>
    <row r="352" spans="1:24" x14ac:dyDescent="0.15">
      <c r="A352" s="29" t="s">
        <v>313</v>
      </c>
      <c r="B352" s="30">
        <v>40.533811428571425</v>
      </c>
      <c r="C352" s="31">
        <v>6.3253332850311567E-2</v>
      </c>
      <c r="D352" s="31">
        <v>0.12254011608057357</v>
      </c>
      <c r="E352" s="31">
        <v>0.26058525697310864</v>
      </c>
      <c r="F352" s="31">
        <v>5.4149252988047814E-3</v>
      </c>
      <c r="G352" s="31">
        <v>3.6723514211886303E-3</v>
      </c>
      <c r="H352" s="31">
        <v>3.656443266702835E-2</v>
      </c>
      <c r="I352" s="31">
        <v>6.8354430379746853E-4</v>
      </c>
      <c r="J352" s="31">
        <v>2.6941309255079002E-3</v>
      </c>
      <c r="K352" s="31">
        <v>9.2796116504854365E-3</v>
      </c>
      <c r="L352" s="31">
        <v>8.693133352288886E-3</v>
      </c>
      <c r="M352" s="31">
        <v>7.1164623467600691E-3</v>
      </c>
      <c r="N352" s="31">
        <v>1.9249308380797393E-2</v>
      </c>
      <c r="O352" s="31">
        <v>1.7211570523507833E-2</v>
      </c>
      <c r="P352" s="31">
        <v>0</v>
      </c>
      <c r="Q352" s="32">
        <v>10.761435604216238</v>
      </c>
      <c r="R352" s="32">
        <v>2.6417934171090289</v>
      </c>
      <c r="S352" s="32">
        <v>53.91258657214486</v>
      </c>
      <c r="T352" s="32">
        <v>22.636957253405413</v>
      </c>
      <c r="U352" s="32">
        <v>2.6398785674912997</v>
      </c>
      <c r="V352" s="32">
        <v>2.8650754126814295</v>
      </c>
      <c r="W352" s="33">
        <v>0.78811111111111098</v>
      </c>
      <c r="X352" s="33">
        <v>-3.6407236000000047</v>
      </c>
    </row>
    <row r="353" spans="1:24" x14ac:dyDescent="0.15">
      <c r="A353" s="29" t="s">
        <v>314</v>
      </c>
      <c r="B353" s="30">
        <v>40.577097142857141</v>
      </c>
      <c r="C353" s="31">
        <v>7.8363642950297074E-2</v>
      </c>
      <c r="D353" s="31">
        <v>0.14282007511095937</v>
      </c>
      <c r="E353" s="31">
        <v>0.2542662541748385</v>
      </c>
      <c r="F353" s="31">
        <v>4.8218127490039847E-3</v>
      </c>
      <c r="G353" s="31">
        <v>4.9901808785529711E-3</v>
      </c>
      <c r="H353" s="31">
        <v>3.7586170345950021E-2</v>
      </c>
      <c r="I353" s="31">
        <v>8.202531645569623E-4</v>
      </c>
      <c r="J353" s="31">
        <v>3.0300225733634295E-3</v>
      </c>
      <c r="K353" s="31">
        <v>8.5272107058514818E-3</v>
      </c>
      <c r="L353" s="31">
        <v>9.4446687517770848E-3</v>
      </c>
      <c r="M353" s="31">
        <v>6.7436952714535888E-3</v>
      </c>
      <c r="N353" s="31">
        <v>2.0943856794141572E-2</v>
      </c>
      <c r="O353" s="31">
        <v>1.7284928309436474E-2</v>
      </c>
      <c r="P353" s="31">
        <v>0</v>
      </c>
      <c r="Q353" s="32">
        <v>10.353161390943418</v>
      </c>
      <c r="R353" s="32">
        <v>3.27487667638681</v>
      </c>
      <c r="S353" s="32">
        <v>53.393951212670871</v>
      </c>
      <c r="T353" s="32">
        <v>22.398931467641919</v>
      </c>
      <c r="U353" s="32">
        <v>2.5203549185925014</v>
      </c>
      <c r="V353" s="32">
        <v>2.7340245396865335</v>
      </c>
      <c r="W353" s="33">
        <v>0.57833333333333348</v>
      </c>
      <c r="X353" s="33">
        <v>-3.7677962200000046</v>
      </c>
    </row>
    <row r="354" spans="1:24" x14ac:dyDescent="0.15">
      <c r="A354" s="29" t="s">
        <v>315</v>
      </c>
      <c r="B354" s="30">
        <v>40.62038285714285</v>
      </c>
      <c r="C354" s="31">
        <v>6.0864628820960692E-2</v>
      </c>
      <c r="D354" s="31">
        <v>0.13609609609609613</v>
      </c>
      <c r="E354" s="31">
        <v>0.28089113924050646</v>
      </c>
      <c r="F354" s="31">
        <v>4.4530949326491353E-3</v>
      </c>
      <c r="G354" s="31">
        <v>4.2282370153621058E-3</v>
      </c>
      <c r="H354" s="31">
        <v>4.0467490927504443E-2</v>
      </c>
      <c r="I354" s="31">
        <v>6.7331670822942669E-4</v>
      </c>
      <c r="J354" s="31">
        <v>2.7513097072419108E-3</v>
      </c>
      <c r="K354" s="31">
        <v>7.8676939148602763E-3</v>
      </c>
      <c r="L354" s="31">
        <v>8.5797441364605601E-3</v>
      </c>
      <c r="M354" s="31">
        <v>7.2227848101265851E-3</v>
      </c>
      <c r="N354" s="31">
        <v>1.8366902876198413E-2</v>
      </c>
      <c r="O354" s="31">
        <v>1.7957413249211355E-2</v>
      </c>
      <c r="P354" s="31">
        <v>0</v>
      </c>
      <c r="Q354" s="32">
        <v>10.721631406674119</v>
      </c>
      <c r="R354" s="32">
        <v>2.7008077883827637</v>
      </c>
      <c r="S354" s="32">
        <v>55.365240717548581</v>
      </c>
      <c r="T354" s="32">
        <v>21.498629506397581</v>
      </c>
      <c r="U354" s="32">
        <v>2.7074164702056742</v>
      </c>
      <c r="V354" s="32">
        <v>2.7122827894188615</v>
      </c>
      <c r="W354" s="33">
        <v>0.38777777777777778</v>
      </c>
      <c r="X354" s="33">
        <v>-4.0395096000000024</v>
      </c>
    </row>
    <row r="355" spans="1:24" x14ac:dyDescent="0.15">
      <c r="A355" s="29" t="s">
        <v>316</v>
      </c>
      <c r="B355" s="30">
        <v>40.663668571428566</v>
      </c>
      <c r="C355" s="31">
        <v>6.2747816593886466E-2</v>
      </c>
      <c r="D355" s="31">
        <v>0.1455855855855856</v>
      </c>
      <c r="E355" s="31">
        <v>0.25169321435982578</v>
      </c>
      <c r="F355" s="31">
        <v>3.6704297626683779E-3</v>
      </c>
      <c r="G355" s="31">
        <v>2.6087946029423712E-3</v>
      </c>
      <c r="H355" s="31">
        <v>3.8610118997383751E-2</v>
      </c>
      <c r="I355" s="31">
        <v>6.2842892768079817E-4</v>
      </c>
      <c r="J355" s="31">
        <v>2.6295069337442219E-3</v>
      </c>
      <c r="K355" s="31">
        <v>7.5533559676155652E-3</v>
      </c>
      <c r="L355" s="31">
        <v>8.8937739872068291E-3</v>
      </c>
      <c r="M355" s="31">
        <v>6.9037974683544305E-3</v>
      </c>
      <c r="N355" s="31">
        <v>1.9527636515214674E-2</v>
      </c>
      <c r="O355" s="31">
        <v>1.9314443442992341E-2</v>
      </c>
      <c r="P355" s="31">
        <v>0</v>
      </c>
      <c r="Q355" s="32">
        <v>10.637466868912664</v>
      </c>
      <c r="R355" s="32">
        <v>2.4441322507199823</v>
      </c>
      <c r="S355" s="32">
        <v>54.335535831717294</v>
      </c>
      <c r="T355" s="32">
        <v>22.193526857650529</v>
      </c>
      <c r="U355" s="32">
        <v>2.5908959434192345</v>
      </c>
      <c r="V355" s="32">
        <v>2.6908428157277422</v>
      </c>
      <c r="W355" s="33">
        <v>0.56779999999999997</v>
      </c>
      <c r="X355" s="33">
        <v>-3.9251550199999947</v>
      </c>
    </row>
    <row r="356" spans="1:24" x14ac:dyDescent="0.15">
      <c r="A356" s="29" t="s">
        <v>317</v>
      </c>
      <c r="B356" s="30">
        <v>40.706954285714282</v>
      </c>
      <c r="C356" s="31">
        <v>6.4731441048034952E-2</v>
      </c>
      <c r="D356" s="31">
        <v>0.10678678678678677</v>
      </c>
      <c r="E356" s="31">
        <v>0.23921909109773817</v>
      </c>
      <c r="F356" s="31">
        <v>4.1670173187940999E-3</v>
      </c>
      <c r="G356" s="31">
        <v>2.5701048524750057E-3</v>
      </c>
      <c r="H356" s="31">
        <v>3.5139155202970722E-2</v>
      </c>
      <c r="I356" s="31">
        <v>5.6109725685785572E-4</v>
      </c>
      <c r="J356" s="31">
        <v>2.5506933744221883E-3</v>
      </c>
      <c r="K356" s="31">
        <v>7.9046748498302413E-3</v>
      </c>
      <c r="L356" s="31">
        <v>8.5348827292110914E-3</v>
      </c>
      <c r="M356" s="31">
        <v>6.0835443037974687E-3</v>
      </c>
      <c r="N356" s="31">
        <v>2.0278699458107542E-2</v>
      </c>
      <c r="O356" s="31">
        <v>1.8254844524560609E-2</v>
      </c>
      <c r="P356" s="31">
        <v>0</v>
      </c>
      <c r="Q356" s="32">
        <v>9.8378134979243175</v>
      </c>
      <c r="R356" s="32">
        <v>2.1443618160160427</v>
      </c>
      <c r="S356" s="32">
        <v>52.657471945995084</v>
      </c>
      <c r="T356" s="32">
        <v>28.335512416273986</v>
      </c>
      <c r="U356" s="32">
        <v>2.3367131940492638</v>
      </c>
      <c r="V356" s="32">
        <v>2.440132207772411</v>
      </c>
      <c r="W356" s="33">
        <v>0.7887142857142857</v>
      </c>
      <c r="X356" s="33">
        <v>-3.5493261599999997</v>
      </c>
    </row>
    <row r="357" spans="1:24" x14ac:dyDescent="0.15">
      <c r="A357" s="29" t="s">
        <v>318</v>
      </c>
      <c r="B357" s="30">
        <v>40.750239999999998</v>
      </c>
      <c r="C357" s="31">
        <v>6.5082969432314411E-2</v>
      </c>
      <c r="D357" s="31">
        <v>0.11327327327327329</v>
      </c>
      <c r="E357" s="31">
        <v>0.22937953932351116</v>
      </c>
      <c r="F357" s="31">
        <v>4.736473701090445E-3</v>
      </c>
      <c r="G357" s="31">
        <v>3.4678649806667359E-3</v>
      </c>
      <c r="H357" s="31">
        <v>3.8494033251751207E-2</v>
      </c>
      <c r="I357" s="31">
        <v>5.6109725685785572E-4</v>
      </c>
      <c r="J357" s="31">
        <v>2.8587827426810471E-3</v>
      </c>
      <c r="K357" s="31">
        <v>8.5056150430921906E-3</v>
      </c>
      <c r="L357" s="31">
        <v>8.4675906183368926E-3</v>
      </c>
      <c r="M357" s="31">
        <v>6.4936708860759513E-3</v>
      </c>
      <c r="N357" s="31">
        <v>1.9586160900375151E-2</v>
      </c>
      <c r="O357" s="31">
        <v>2.0225326723749434E-2</v>
      </c>
      <c r="P357" s="31">
        <v>0</v>
      </c>
      <c r="Q357" s="32">
        <v>10.020584534168929</v>
      </c>
      <c r="R357" s="32">
        <v>2.2322732869930584</v>
      </c>
      <c r="S357" s="32">
        <v>51.337686424772393</v>
      </c>
      <c r="T357" s="32">
        <v>26.412739070978756</v>
      </c>
      <c r="U357" s="32">
        <v>2.3723688318022917</v>
      </c>
      <c r="V357" s="32">
        <v>2.5699893578882889</v>
      </c>
      <c r="W357" s="33">
        <v>0.7837142857142857</v>
      </c>
      <c r="X357" s="33">
        <v>-3.7548626200000008</v>
      </c>
    </row>
    <row r="358" spans="1:24" x14ac:dyDescent="0.15">
      <c r="A358" s="29" t="s">
        <v>319</v>
      </c>
      <c r="B358" s="30">
        <v>40.793525714285714</v>
      </c>
      <c r="C358" s="31">
        <v>6.6112445414847162E-2</v>
      </c>
      <c r="D358" s="31">
        <v>0.11447447447447449</v>
      </c>
      <c r="E358" s="31">
        <v>0.25732890641211875</v>
      </c>
      <c r="F358" s="31">
        <v>4.983867864015396E-3</v>
      </c>
      <c r="G358" s="31">
        <v>5.5464520848573515E-3</v>
      </c>
      <c r="H358" s="31">
        <v>3.9132504852730197E-2</v>
      </c>
      <c r="I358" s="31">
        <v>6.7331670822942669E-4</v>
      </c>
      <c r="J358" s="31">
        <v>2.8157935285053927E-3</v>
      </c>
      <c r="K358" s="31">
        <v>9.3654217811439018E-3</v>
      </c>
      <c r="L358" s="31">
        <v>8.8264818763326286E-3</v>
      </c>
      <c r="M358" s="31">
        <v>6.8582278481012669E-3</v>
      </c>
      <c r="N358" s="31">
        <v>1.9537390579408082E-2</v>
      </c>
      <c r="O358" s="31">
        <v>1.6442372690401084E-2</v>
      </c>
      <c r="P358" s="31">
        <v>0</v>
      </c>
      <c r="Q358" s="32">
        <v>10.505914647533132</v>
      </c>
      <c r="R358" s="32">
        <v>2.636138955484185</v>
      </c>
      <c r="S358" s="32">
        <v>52.212690376092461</v>
      </c>
      <c r="T358" s="32">
        <v>26.027182407302561</v>
      </c>
      <c r="U358" s="32">
        <v>2.577441183643606</v>
      </c>
      <c r="V358" s="32">
        <v>2.7874488148300793</v>
      </c>
      <c r="W358" s="33">
        <v>0.7238888888888888</v>
      </c>
      <c r="X358" s="33">
        <v>-3.6323167600000019</v>
      </c>
    </row>
    <row r="359" spans="1:24" x14ac:dyDescent="0.15">
      <c r="A359" s="29" t="s">
        <v>320</v>
      </c>
      <c r="B359" s="30">
        <v>40.836811428571423</v>
      </c>
      <c r="C359" s="31">
        <v>6.7537815126050435E-2</v>
      </c>
      <c r="D359" s="31">
        <v>0.10630391506303916</v>
      </c>
      <c r="E359" s="31">
        <v>0.23657886749735457</v>
      </c>
      <c r="F359" s="31">
        <v>2.7803410230692075E-3</v>
      </c>
      <c r="G359" s="31">
        <v>4.0142554693013404E-3</v>
      </c>
      <c r="H359" s="31">
        <v>3.8351650412603161E-2</v>
      </c>
      <c r="I359" s="31">
        <v>7.8750000000000066E-4</v>
      </c>
      <c r="J359" s="31">
        <v>3.0496519721577723E-3</v>
      </c>
      <c r="K359" s="31">
        <v>8.2041328799372197E-3</v>
      </c>
      <c r="L359" s="31">
        <v>9.0757162921348295E-3</v>
      </c>
      <c r="M359" s="31">
        <v>6.6300617102556568E-3</v>
      </c>
      <c r="N359" s="31">
        <v>1.9771488120050019E-2</v>
      </c>
      <c r="O359" s="31">
        <v>1.3556597454789014E-2</v>
      </c>
      <c r="P359" s="31">
        <v>0</v>
      </c>
      <c r="Q359" s="32">
        <v>10.607952113121639</v>
      </c>
      <c r="R359" s="32">
        <v>3.0332829870859066</v>
      </c>
      <c r="S359" s="32">
        <v>51.500918514321476</v>
      </c>
      <c r="T359" s="32">
        <v>28.728631442126474</v>
      </c>
      <c r="U359" s="32">
        <v>2.5102608626920828</v>
      </c>
      <c r="V359" s="32">
        <v>2.7836459882939812</v>
      </c>
      <c r="W359" s="33">
        <v>0.71677777777777785</v>
      </c>
      <c r="X359" s="33">
        <v>-3.6963380800000039</v>
      </c>
    </row>
    <row r="360" spans="1:24" x14ac:dyDescent="0.15">
      <c r="A360" s="29" t="s">
        <v>321</v>
      </c>
      <c r="B360" s="30">
        <v>40.880097142857139</v>
      </c>
      <c r="C360" s="31">
        <v>6.939075630252102E-2</v>
      </c>
      <c r="D360" s="31">
        <v>0.10200398142003979</v>
      </c>
      <c r="E360" s="31">
        <v>0.24737824735249</v>
      </c>
      <c r="F360" s="31">
        <v>4.5428786359077242E-3</v>
      </c>
      <c r="G360" s="31">
        <v>4.9884262526464348E-3</v>
      </c>
      <c r="H360" s="31">
        <v>3.749174793698426E-2</v>
      </c>
      <c r="I360" s="31">
        <v>6.7500000000000047E-4</v>
      </c>
      <c r="J360" s="31">
        <v>2.8410672853828303E-3</v>
      </c>
      <c r="K360" s="31">
        <v>8.7689772430028737E-3</v>
      </c>
      <c r="L360" s="31">
        <v>9.5411376404494364E-3</v>
      </c>
      <c r="M360" s="31">
        <v>6.8575080811049067E-3</v>
      </c>
      <c r="N360" s="31">
        <v>1.9342309295539806E-2</v>
      </c>
      <c r="O360" s="31">
        <v>1.5241962491627596E-2</v>
      </c>
      <c r="P360" s="31">
        <v>0</v>
      </c>
      <c r="Q360" s="32">
        <v>10.237798467043234</v>
      </c>
      <c r="R360" s="32">
        <v>2.6593213103488726</v>
      </c>
      <c r="S360" s="32">
        <v>52.37581358999752</v>
      </c>
      <c r="T360" s="32">
        <v>27.092680444531094</v>
      </c>
      <c r="U360" s="32">
        <v>2.4364678193939455</v>
      </c>
      <c r="V360" s="32">
        <v>2.8340196315274193</v>
      </c>
      <c r="W360" s="33">
        <v>0.75777777777777766</v>
      </c>
      <c r="X360" s="33">
        <v>-3.7618683199999978</v>
      </c>
    </row>
    <row r="361" spans="1:24" x14ac:dyDescent="0.15">
      <c r="A361" s="29" t="s">
        <v>322</v>
      </c>
      <c r="B361" s="30">
        <v>40.923382857142855</v>
      </c>
      <c r="C361" s="31">
        <v>7.7936974789915986E-2</v>
      </c>
      <c r="D361" s="31">
        <v>0.11335102853351024</v>
      </c>
      <c r="E361" s="31">
        <v>0.21953078986440486</v>
      </c>
      <c r="F361" s="31">
        <v>3.9967402206619864E-3</v>
      </c>
      <c r="G361" s="31">
        <v>3.5271700776287923E-3</v>
      </c>
      <c r="H361" s="31">
        <v>3.5290397599399857E-2</v>
      </c>
      <c r="I361" s="31">
        <v>5.6250000000000061E-4</v>
      </c>
      <c r="J361" s="31">
        <v>2.7979118329466359E-3</v>
      </c>
      <c r="K361" s="31">
        <v>9.4356787862934846E-3</v>
      </c>
      <c r="L361" s="31">
        <v>1.445022471910112E-2</v>
      </c>
      <c r="M361" s="31">
        <v>5.799882456655892E-3</v>
      </c>
      <c r="N361" s="31">
        <v>2.3517048770320962E-2</v>
      </c>
      <c r="O361" s="31">
        <v>1.4643335565974551E-2</v>
      </c>
      <c r="P361" s="31">
        <v>7.9817411150961872E-4</v>
      </c>
      <c r="Q361" s="32">
        <v>9.3424128050746198</v>
      </c>
      <c r="R361" s="32">
        <v>2.1891431696095602</v>
      </c>
      <c r="S361" s="32">
        <v>51.723906133421963</v>
      </c>
      <c r="T361" s="32">
        <v>28.844138948462991</v>
      </c>
      <c r="U361" s="32">
        <v>2.2313640848410183</v>
      </c>
      <c r="V361" s="32">
        <v>2.5107347836590419</v>
      </c>
      <c r="W361" s="33">
        <v>0.79733333333333334</v>
      </c>
      <c r="X361" s="33">
        <v>-3.8420566400000027</v>
      </c>
    </row>
    <row r="362" spans="1:24" x14ac:dyDescent="0.15">
      <c r="A362" s="29" t="s">
        <v>323</v>
      </c>
      <c r="B362" s="30">
        <v>40.966668571428571</v>
      </c>
      <c r="C362" s="31">
        <v>6.2319327731092444E-2</v>
      </c>
      <c r="D362" s="31">
        <v>0.11884538818845385</v>
      </c>
      <c r="E362" s="31">
        <v>0.25093276021885536</v>
      </c>
      <c r="F362" s="31">
        <v>3.7733199598796391E-3</v>
      </c>
      <c r="G362" s="31">
        <v>6.3111150317572331E-3</v>
      </c>
      <c r="H362" s="31">
        <v>3.2515778944736194E-2</v>
      </c>
      <c r="I362" s="31">
        <v>5.6250000000000061E-4</v>
      </c>
      <c r="J362" s="31">
        <v>2.6468677494199534E-3</v>
      </c>
      <c r="K362" s="31">
        <v>9.1393669892754371E-3</v>
      </c>
      <c r="L362" s="31">
        <v>1.0416573033707861E-2</v>
      </c>
      <c r="M362" s="31">
        <v>6.3571260652365543E-3</v>
      </c>
      <c r="N362" s="31">
        <v>2.0912713630679442E-2</v>
      </c>
      <c r="O362" s="31">
        <v>2.3825351640991293E-2</v>
      </c>
      <c r="P362" s="31">
        <v>0</v>
      </c>
      <c r="Q362" s="32">
        <v>9.3545872569965205</v>
      </c>
      <c r="R362" s="32">
        <v>2.2846839189789403</v>
      </c>
      <c r="S362" s="32">
        <v>55.459224633475998</v>
      </c>
      <c r="T362" s="32">
        <v>22.107271982842661</v>
      </c>
      <c r="U362" s="32">
        <v>2.3423278949462789</v>
      </c>
      <c r="V362" s="32">
        <v>2.6335239693660015</v>
      </c>
      <c r="W362" s="33">
        <v>0.65199999999999991</v>
      </c>
      <c r="X362" s="33">
        <v>-3.9289273199999961</v>
      </c>
    </row>
    <row r="363" spans="1:24" x14ac:dyDescent="0.15">
      <c r="A363" s="29" t="s">
        <v>324</v>
      </c>
      <c r="B363" s="30">
        <v>41.009954285714279</v>
      </c>
      <c r="C363" s="31">
        <v>6.8470588235294116E-2</v>
      </c>
      <c r="D363" s="31">
        <v>0.12075646980756465</v>
      </c>
      <c r="E363" s="31">
        <v>0.20822200529912152</v>
      </c>
      <c r="F363" s="31">
        <v>3.8891675025075228E-3</v>
      </c>
      <c r="G363" s="31">
        <v>4.7076923076923068E-3</v>
      </c>
      <c r="H363" s="31">
        <v>3.5095486371592904E-2</v>
      </c>
      <c r="I363" s="31">
        <v>5.6250000000000061E-4</v>
      </c>
      <c r="J363" s="31">
        <v>2.740371229698375E-3</v>
      </c>
      <c r="K363" s="31">
        <v>9.8986659691341853E-3</v>
      </c>
      <c r="L363" s="31">
        <v>9.1200421348314603E-3</v>
      </c>
      <c r="M363" s="31">
        <v>4.9924478401410519E-3</v>
      </c>
      <c r="N363" s="31">
        <v>3.2715131304710286E-2</v>
      </c>
      <c r="O363" s="31">
        <v>2.1909745478901541E-2</v>
      </c>
      <c r="P363" s="31">
        <v>2.9931529181610695E-4</v>
      </c>
      <c r="Q363" s="32">
        <v>7.4604337070282565</v>
      </c>
      <c r="R363" s="32">
        <v>2.0521320908092884</v>
      </c>
      <c r="S363" s="32">
        <v>54.771862484167777</v>
      </c>
      <c r="T363" s="32">
        <v>28.534917917722755</v>
      </c>
      <c r="U363" s="32">
        <v>1.7951666130641208</v>
      </c>
      <c r="V363" s="32">
        <v>1.8593900748896999</v>
      </c>
      <c r="W363" s="33">
        <v>0.52100000000000002</v>
      </c>
      <c r="X363" s="33">
        <v>-4.7695959228571496</v>
      </c>
    </row>
    <row r="364" spans="1:24" x14ac:dyDescent="0.15">
      <c r="A364" s="29" t="s">
        <v>325</v>
      </c>
      <c r="B364" s="30">
        <v>41.053239999999995</v>
      </c>
      <c r="C364" s="31">
        <v>6.1777310924369763E-2</v>
      </c>
      <c r="D364" s="31">
        <v>0.10116788321167884</v>
      </c>
      <c r="E364" s="31">
        <v>0.22483991895461297</v>
      </c>
      <c r="F364" s="31">
        <v>2.5023069207622873E-3</v>
      </c>
      <c r="G364" s="31">
        <v>3.3886026817219472E-3</v>
      </c>
      <c r="H364" s="31">
        <v>3.3926019004751194E-2</v>
      </c>
      <c r="I364" s="31">
        <v>4.5000000000000037E-4</v>
      </c>
      <c r="J364" s="31">
        <v>2.5677494199535956E-3</v>
      </c>
      <c r="K364" s="31">
        <v>8.7411980120324344E-3</v>
      </c>
      <c r="L364" s="31">
        <v>1.1790674157303369E-2</v>
      </c>
      <c r="M364" s="31">
        <v>5.2653834851601519E-3</v>
      </c>
      <c r="N364" s="31">
        <v>2.0951729887453103E-2</v>
      </c>
      <c r="O364" s="31">
        <v>1.8953449430676495E-2</v>
      </c>
      <c r="P364" s="31">
        <v>0</v>
      </c>
      <c r="Q364" s="32">
        <v>8.2168092634158754</v>
      </c>
      <c r="R364" s="32">
        <v>1.7984343694218403</v>
      </c>
      <c r="S364" s="32">
        <v>54.62817537657844</v>
      </c>
      <c r="T364" s="32">
        <v>25.171288490284009</v>
      </c>
      <c r="U364" s="32">
        <v>2.1035131017339963</v>
      </c>
      <c r="V364" s="32">
        <v>2.1521587475153319</v>
      </c>
      <c r="W364" s="33">
        <v>0.59528571428571431</v>
      </c>
      <c r="X364" s="33">
        <v>-4.4318288000000017</v>
      </c>
    </row>
    <row r="365" spans="1:24" x14ac:dyDescent="0.15">
      <c r="A365" s="29" t="s">
        <v>326</v>
      </c>
      <c r="B365" s="30">
        <v>41.096525714285711</v>
      </c>
      <c r="C365" s="31">
        <v>6.0605042016806721E-2</v>
      </c>
      <c r="D365" s="31">
        <v>0.12517584605175847</v>
      </c>
      <c r="E365" s="31">
        <v>0.24144651250543453</v>
      </c>
      <c r="F365" s="31">
        <v>3.1491617710273675E-3</v>
      </c>
      <c r="G365" s="31">
        <v>4.3333803810868023E-3</v>
      </c>
      <c r="H365" s="31">
        <v>3.58865966491623E-2</v>
      </c>
      <c r="I365" s="31">
        <v>6.8625000000000044E-4</v>
      </c>
      <c r="J365" s="31">
        <v>2.8482598607888626E-3</v>
      </c>
      <c r="K365" s="31">
        <v>9.4912372482343719E-3</v>
      </c>
      <c r="L365" s="31">
        <v>1.4705098314606738E-2</v>
      </c>
      <c r="M365" s="31">
        <v>6.4139876579488693E-3</v>
      </c>
      <c r="N365" s="31">
        <v>1.9137473947478115E-2</v>
      </c>
      <c r="O365" s="31">
        <v>1.8575853985264571E-2</v>
      </c>
      <c r="P365" s="31">
        <v>0</v>
      </c>
      <c r="Q365" s="32">
        <v>9.3962721779158933</v>
      </c>
      <c r="R365" s="32">
        <v>2.768853327411231</v>
      </c>
      <c r="S365" s="32">
        <v>55.089446938300469</v>
      </c>
      <c r="T365" s="32">
        <v>22.412699811529215</v>
      </c>
      <c r="U365" s="32">
        <v>2.3143021493712146</v>
      </c>
      <c r="V365" s="32">
        <v>2.6210979584398184</v>
      </c>
      <c r="W365" s="33">
        <v>0.5367777777777778</v>
      </c>
      <c r="X365" s="33">
        <v>-4.010208837142855</v>
      </c>
    </row>
    <row r="366" spans="1:24" x14ac:dyDescent="0.15">
      <c r="A366" s="29" t="s">
        <v>327</v>
      </c>
      <c r="B366" s="30">
        <v>41.139811428571427</v>
      </c>
      <c r="C366" s="31">
        <v>6.0609125973364396E-2</v>
      </c>
      <c r="D366" s="31">
        <v>0.14636968085106383</v>
      </c>
      <c r="E366" s="31">
        <v>0.25781295879416649</v>
      </c>
      <c r="F366" s="31">
        <v>4.5297407219115427E-3</v>
      </c>
      <c r="G366" s="31">
        <v>3.7321083172146999E-3</v>
      </c>
      <c r="H366" s="31">
        <v>4.2810518586892686E-2</v>
      </c>
      <c r="I366" s="31">
        <v>7.5930521091811451E-4</v>
      </c>
      <c r="J366" s="31">
        <v>3.0472952086553324E-3</v>
      </c>
      <c r="K366" s="31">
        <v>9.1253333333333325E-3</v>
      </c>
      <c r="L366" s="31">
        <v>1.0740255500354864E-2</v>
      </c>
      <c r="M366" s="31">
        <v>6.8354430379746851E-3</v>
      </c>
      <c r="N366" s="31">
        <v>1.8870024979184007E-2</v>
      </c>
      <c r="O366" s="31">
        <v>1.9878852166145603E-2</v>
      </c>
      <c r="P366" s="31">
        <v>0</v>
      </c>
      <c r="Q366" s="32">
        <v>10.148340813917647</v>
      </c>
      <c r="R366" s="32">
        <v>2.8276504750919131</v>
      </c>
      <c r="S366" s="32">
        <v>53.265409360987285</v>
      </c>
      <c r="T366" s="32">
        <v>23.034824630697525</v>
      </c>
      <c r="U366" s="32">
        <v>2.6144554455445541</v>
      </c>
      <c r="V366" s="32">
        <v>2.8803091118277493</v>
      </c>
      <c r="W366" s="33">
        <v>0.7132222222222222</v>
      </c>
      <c r="X366" s="33">
        <v>-3.5638610628571428</v>
      </c>
    </row>
    <row r="367" spans="1:24" x14ac:dyDescent="0.15">
      <c r="A367" s="29" t="s">
        <v>328</v>
      </c>
      <c r="B367" s="30">
        <v>41.183097142857143</v>
      </c>
      <c r="C367" s="31">
        <v>6.0370606214977085E-2</v>
      </c>
      <c r="D367" s="31">
        <v>0.14708776595744683</v>
      </c>
      <c r="E367" s="31">
        <v>0.25042918664970137</v>
      </c>
      <c r="F367" s="31">
        <v>4.046568378240978E-3</v>
      </c>
      <c r="G367" s="31">
        <v>4.6363636363636364E-3</v>
      </c>
      <c r="H367" s="31">
        <v>3.468471511286398E-2</v>
      </c>
      <c r="I367" s="31">
        <v>6.6997518610421869E-4</v>
      </c>
      <c r="J367" s="31">
        <v>2.572952086553323E-3</v>
      </c>
      <c r="K367" s="31">
        <v>7.7556078431372539E-3</v>
      </c>
      <c r="L367" s="31">
        <v>8.9147480482611799E-3</v>
      </c>
      <c r="M367" s="31">
        <v>6.755696202531648E-3</v>
      </c>
      <c r="N367" s="31">
        <v>1.922073272273106E-2</v>
      </c>
      <c r="O367" s="31">
        <v>1.6645544886109868E-2</v>
      </c>
      <c r="P367" s="31">
        <v>0</v>
      </c>
      <c r="Q367" s="32">
        <v>10.141520475750127</v>
      </c>
      <c r="R367" s="32">
        <v>2.4818689294159917</v>
      </c>
      <c r="S367" s="32">
        <v>55.410864548115413</v>
      </c>
      <c r="T367" s="32">
        <v>22.004792242673194</v>
      </c>
      <c r="U367" s="32">
        <v>2.6137234794908064</v>
      </c>
      <c r="V367" s="32">
        <v>2.8888413549005043</v>
      </c>
      <c r="W367" s="33">
        <v>0.677111111111111</v>
      </c>
      <c r="X367" s="33">
        <v>-3.3537824457142875</v>
      </c>
    </row>
    <row r="368" spans="1:24" x14ac:dyDescent="0.15">
      <c r="A368" s="29" t="s">
        <v>329</v>
      </c>
      <c r="B368" s="30">
        <v>41.226382857142852</v>
      </c>
      <c r="C368" s="31">
        <v>5.9906120369696531E-2</v>
      </c>
      <c r="D368" s="31">
        <v>0.14361702127659573</v>
      </c>
      <c r="E368" s="31">
        <v>0.23701233238719771</v>
      </c>
      <c r="F368" s="31">
        <v>3.690899847483478E-3</v>
      </c>
      <c r="G368" s="31">
        <v>3.8636363636363638E-3</v>
      </c>
      <c r="H368" s="31">
        <v>3.4880934799026604E-2</v>
      </c>
      <c r="I368" s="31">
        <v>6.6997518610421869E-4</v>
      </c>
      <c r="J368" s="31">
        <v>2.867619783616692E-3</v>
      </c>
      <c r="K368" s="31">
        <v>8.5607843137254901E-3</v>
      </c>
      <c r="L368" s="31">
        <v>8.9595457771469138E-3</v>
      </c>
      <c r="M368" s="31">
        <v>6.6417721518987347E-3</v>
      </c>
      <c r="N368" s="31">
        <v>1.9259700249791841E-2</v>
      </c>
      <c r="O368" s="31">
        <v>1.6231018311746316E-2</v>
      </c>
      <c r="P368" s="31">
        <v>0</v>
      </c>
      <c r="Q368" s="32">
        <v>10.005818917232411</v>
      </c>
      <c r="R368" s="32">
        <v>2.5307251905519403</v>
      </c>
      <c r="S368" s="32">
        <v>53.548602722997103</v>
      </c>
      <c r="T368" s="32">
        <v>23.727899649788032</v>
      </c>
      <c r="U368" s="32">
        <v>2.4857885431400284</v>
      </c>
      <c r="V368" s="32">
        <v>2.7751478397878038</v>
      </c>
      <c r="W368" s="33">
        <v>0.69544444444444442</v>
      </c>
      <c r="X368" s="33">
        <v>-3.4851970600000008</v>
      </c>
    </row>
    <row r="369" spans="1:24" x14ac:dyDescent="0.15">
      <c r="A369" s="29" t="s">
        <v>330</v>
      </c>
      <c r="B369" s="30">
        <v>41.269668571428568</v>
      </c>
      <c r="C369" s="31">
        <v>6.2077905538170434E-2</v>
      </c>
      <c r="D369" s="31">
        <v>0.13595744680851063</v>
      </c>
      <c r="E369" s="31">
        <v>0.24608446706469603</v>
      </c>
      <c r="F369" s="31">
        <v>5.4960854092526703E-3</v>
      </c>
      <c r="G369" s="31">
        <v>3.0974854932301734E-3</v>
      </c>
      <c r="H369" s="31">
        <v>3.5873575564319887E-2</v>
      </c>
      <c r="I369" s="31">
        <v>5.5831265508684907E-4</v>
      </c>
      <c r="J369" s="31">
        <v>2.6591962905718708E-3</v>
      </c>
      <c r="K369" s="31">
        <v>8.9032156862745102E-3</v>
      </c>
      <c r="L369" s="31">
        <v>8.7915542938254102E-3</v>
      </c>
      <c r="M369" s="31">
        <v>6.4822784810126604E-3</v>
      </c>
      <c r="N369" s="31">
        <v>1.9376602830974185E-2</v>
      </c>
      <c r="O369" s="31">
        <v>1.7953606520768203E-2</v>
      </c>
      <c r="P369" s="31">
        <v>0</v>
      </c>
      <c r="Q369" s="32">
        <v>9.8454654126350452</v>
      </c>
      <c r="R369" s="32">
        <v>2.324890544150501</v>
      </c>
      <c r="S369" s="32">
        <v>53.814782001559657</v>
      </c>
      <c r="T369" s="32">
        <v>23.556977776022332</v>
      </c>
      <c r="U369" s="32">
        <v>2.5825247524752482</v>
      </c>
      <c r="V369" s="32">
        <v>2.7138478018147705</v>
      </c>
      <c r="W369" s="33">
        <v>0.68099999999999994</v>
      </c>
      <c r="X369" s="33">
        <v>-3.5751933600000001</v>
      </c>
    </row>
    <row r="370" spans="1:24" x14ac:dyDescent="0.15">
      <c r="A370" s="29" t="s">
        <v>331</v>
      </c>
      <c r="B370" s="30">
        <v>41.312954285714284</v>
      </c>
      <c r="C370" s="31">
        <v>6.1111272833127145E-2</v>
      </c>
      <c r="D370" s="31">
        <v>0.12937499999999996</v>
      </c>
      <c r="E370" s="31">
        <v>0.24313546050699805</v>
      </c>
      <c r="F370" s="31">
        <v>4.6178190137264891E-3</v>
      </c>
      <c r="G370" s="31">
        <v>4.4193423597678914E-3</v>
      </c>
      <c r="H370" s="31">
        <v>3.4765511454225066E-2</v>
      </c>
      <c r="I370" s="31">
        <v>5.6947890818858597E-4</v>
      </c>
      <c r="J370" s="31">
        <v>2.6663833075734151E-3</v>
      </c>
      <c r="K370" s="31">
        <v>8.6533333333333341E-3</v>
      </c>
      <c r="L370" s="31">
        <v>9.0267423704755174E-3</v>
      </c>
      <c r="M370" s="31">
        <v>6.7101265822784835E-3</v>
      </c>
      <c r="N370" s="31">
        <v>1.8490091590341384E-2</v>
      </c>
      <c r="O370" s="31">
        <v>1.6019149173738274E-2</v>
      </c>
      <c r="P370" s="31">
        <v>0</v>
      </c>
      <c r="Q370" s="32">
        <v>10.258654998458775</v>
      </c>
      <c r="R370" s="32">
        <v>2.3672573588357535</v>
      </c>
      <c r="S370" s="32">
        <v>53.904818042893865</v>
      </c>
      <c r="T370" s="32">
        <v>21.999997103510022</v>
      </c>
      <c r="U370" s="32">
        <v>2.6776591230551627</v>
      </c>
      <c r="V370" s="32">
        <v>3.0537173191038356</v>
      </c>
      <c r="W370" s="33">
        <v>0.63300000000000001</v>
      </c>
      <c r="X370" s="33">
        <v>-3.2146692600000009</v>
      </c>
    </row>
    <row r="371" spans="1:24" x14ac:dyDescent="0.15">
      <c r="A371" s="29" t="s">
        <v>332</v>
      </c>
      <c r="B371" s="30">
        <v>41.35624</v>
      </c>
      <c r="C371" s="31">
        <v>6.0960628775198304E-2</v>
      </c>
      <c r="D371" s="31">
        <v>0.11477393617021275</v>
      </c>
      <c r="E371" s="31">
        <v>0.24252764999510612</v>
      </c>
      <c r="F371" s="31">
        <v>4.1438739196746326E-3</v>
      </c>
      <c r="G371" s="31">
        <v>3.6992263056092839E-3</v>
      </c>
      <c r="H371" s="31">
        <v>3.5388797516153404E-2</v>
      </c>
      <c r="I371" s="31">
        <v>5.6947890818858597E-4</v>
      </c>
      <c r="J371" s="31">
        <v>2.5226429675425039E-3</v>
      </c>
      <c r="K371" s="31">
        <v>7.1725490196078434E-3</v>
      </c>
      <c r="L371" s="31">
        <v>7.6492122072391771E-3</v>
      </c>
      <c r="M371" s="31">
        <v>6.7670886075949371E-3</v>
      </c>
      <c r="N371" s="31">
        <v>1.8519317235636965E-2</v>
      </c>
      <c r="O371" s="31">
        <v>1.4361042876284057E-2</v>
      </c>
      <c r="P371" s="31">
        <v>0</v>
      </c>
      <c r="Q371" s="32">
        <v>10.467979941508597</v>
      </c>
      <c r="R371" s="32">
        <v>2.3921026681041302</v>
      </c>
      <c r="S371" s="32">
        <v>53.479083985627561</v>
      </c>
      <c r="T371" s="32">
        <v>23.373464860310193</v>
      </c>
      <c r="U371" s="32">
        <v>2.670434936350778</v>
      </c>
      <c r="V371" s="32">
        <v>3.0364876927698208</v>
      </c>
      <c r="W371" s="33">
        <v>0.6339999999999999</v>
      </c>
      <c r="X371" s="33">
        <v>-3.3696569000000025</v>
      </c>
    </row>
    <row r="372" spans="1:24" x14ac:dyDescent="0.15">
      <c r="A372" s="29" t="s">
        <v>333</v>
      </c>
      <c r="B372" s="30">
        <v>41.397338888888889</v>
      </c>
      <c r="C372" s="31">
        <v>6.6173351689239504E-2</v>
      </c>
      <c r="D372" s="31">
        <v>0.12384982935153582</v>
      </c>
      <c r="E372" s="31">
        <v>0.24704083655466352</v>
      </c>
      <c r="F372" s="31">
        <v>5.2735609756097562E-3</v>
      </c>
      <c r="G372" s="31">
        <v>3.5343712574850304E-3</v>
      </c>
      <c r="H372" s="31">
        <v>4.47125550938169E-2</v>
      </c>
      <c r="I372" s="31">
        <v>7.8750000000000066E-4</v>
      </c>
      <c r="J372" s="31">
        <v>2.9791284403669726E-3</v>
      </c>
      <c r="K372" s="31">
        <v>8.4948931735278812E-3</v>
      </c>
      <c r="L372" s="31">
        <v>9.5828607702073618E-3</v>
      </c>
      <c r="M372" s="31">
        <v>7.7057016248153615E-3</v>
      </c>
      <c r="N372" s="31">
        <v>1.9556615512235583E-2</v>
      </c>
      <c r="O372" s="31">
        <v>1.0999999999999998E-2</v>
      </c>
      <c r="P372" s="31">
        <v>0</v>
      </c>
      <c r="Q372" s="32">
        <v>11.046541935668868</v>
      </c>
      <c r="R372" s="32">
        <v>3.0590452532515586</v>
      </c>
      <c r="S372" s="32">
        <v>50.209319488124244</v>
      </c>
      <c r="T372" s="32">
        <v>25.373942087181156</v>
      </c>
      <c r="U372" s="32">
        <v>3.1385439689679364</v>
      </c>
      <c r="V372" s="32">
        <v>2.9943569614605856</v>
      </c>
      <c r="W372" s="33">
        <v>0.52511111111111108</v>
      </c>
      <c r="X372" s="33">
        <v>-3.4025297999999999</v>
      </c>
    </row>
    <row r="373" spans="1:24" x14ac:dyDescent="0.15">
      <c r="A373" s="29" t="s">
        <v>334</v>
      </c>
      <c r="B373" s="30">
        <v>41.430033333333334</v>
      </c>
      <c r="C373" s="31">
        <v>6.3401734946785235E-2</v>
      </c>
      <c r="D373" s="31">
        <v>0.11728340425531913</v>
      </c>
      <c r="E373" s="31">
        <v>0.2439283953052569</v>
      </c>
      <c r="F373" s="31">
        <v>4.9083309143686501E-3</v>
      </c>
      <c r="G373" s="31">
        <v>3.7994659546061417E-3</v>
      </c>
      <c r="H373" s="31">
        <v>4.3613831682758043E-2</v>
      </c>
      <c r="I373" s="31">
        <v>7.9145728643216105E-4</v>
      </c>
      <c r="J373" s="31">
        <v>2.8166918429003026E-3</v>
      </c>
      <c r="K373" s="31">
        <v>7.4589243959469987E-3</v>
      </c>
      <c r="L373" s="31">
        <v>9.3039306846999167E-3</v>
      </c>
      <c r="M373" s="31">
        <v>7.8291494388659181E-3</v>
      </c>
      <c r="N373" s="31">
        <v>1.8952546583850927E-2</v>
      </c>
      <c r="O373" s="31">
        <v>1.0865536277602523E-2</v>
      </c>
      <c r="P373" s="31">
        <v>0</v>
      </c>
      <c r="Q373" s="32">
        <v>11.542847195740965</v>
      </c>
      <c r="R373" s="32">
        <v>3.1977694669711036</v>
      </c>
      <c r="S373" s="32">
        <v>51.078056348382269</v>
      </c>
      <c r="T373" s="32">
        <v>25.531964659175493</v>
      </c>
      <c r="U373" s="32">
        <v>3.135000327904689</v>
      </c>
      <c r="V373" s="32">
        <v>3.0754684882440553</v>
      </c>
      <c r="W373" s="33">
        <v>0.55166666666666664</v>
      </c>
      <c r="X373" s="33">
        <v>-3.400589759999999</v>
      </c>
    </row>
    <row r="374" spans="1:24" x14ac:dyDescent="0.15">
      <c r="A374" s="29" t="s">
        <v>335</v>
      </c>
      <c r="B374" s="30">
        <v>41.462727777777779</v>
      </c>
      <c r="C374" s="31">
        <v>6.374125236915E-2</v>
      </c>
      <c r="D374" s="31">
        <v>0.13946553191489358</v>
      </c>
      <c r="E374" s="31">
        <v>0.256484367294605</v>
      </c>
      <c r="F374" s="31">
        <v>5.1008708272859216E-3</v>
      </c>
      <c r="G374" s="31">
        <v>3.5951935914552736E-3</v>
      </c>
      <c r="H374" s="31">
        <v>4.4343388720838671E-2</v>
      </c>
      <c r="I374" s="31">
        <v>8.027638190954776E-4</v>
      </c>
      <c r="J374" s="31">
        <v>2.8518126888217518E-3</v>
      </c>
      <c r="K374" s="31">
        <v>8.2590802805923621E-3</v>
      </c>
      <c r="L374" s="31">
        <v>9.7485629754860536E-3</v>
      </c>
      <c r="M374" s="31">
        <v>8.2520378027170702E-3</v>
      </c>
      <c r="N374" s="31">
        <v>1.8400248447204965E-2</v>
      </c>
      <c r="O374" s="31">
        <v>1.1004957187922489E-2</v>
      </c>
      <c r="P374" s="31">
        <v>0</v>
      </c>
      <c r="Q374" s="32">
        <v>11.497060892905573</v>
      </c>
      <c r="R374" s="32">
        <v>3.268333989449649</v>
      </c>
      <c r="S374" s="32">
        <v>51.61204908325459</v>
      </c>
      <c r="T374" s="32">
        <v>23.838205531530249</v>
      </c>
      <c r="U374" s="32">
        <v>3.2281231282107328</v>
      </c>
      <c r="V374" s="32">
        <v>3.1150953229010607</v>
      </c>
      <c r="W374" s="33">
        <v>0.46500000000000008</v>
      </c>
      <c r="X374" s="33">
        <v>-3.3199703200000066</v>
      </c>
    </row>
    <row r="375" spans="1:24" x14ac:dyDescent="0.15">
      <c r="A375" s="29" t="s">
        <v>336</v>
      </c>
      <c r="B375" s="30">
        <v>41.495422222222224</v>
      </c>
      <c r="C375" s="31">
        <v>6.4986149584487521E-2</v>
      </c>
      <c r="D375" s="31">
        <v>0.13701446808510639</v>
      </c>
      <c r="E375" s="31">
        <v>0.23628365716540092</v>
      </c>
      <c r="F375" s="31">
        <v>4.7703918722786657E-3</v>
      </c>
      <c r="G375" s="31">
        <v>3.6065420560747654E-3</v>
      </c>
      <c r="H375" s="31">
        <v>4.3933012886918324E-2</v>
      </c>
      <c r="I375" s="31">
        <v>7.9145728643216105E-4</v>
      </c>
      <c r="J375" s="31">
        <v>2.9712235649546823E-3</v>
      </c>
      <c r="K375" s="31">
        <v>8.0567420109119263E-3</v>
      </c>
      <c r="L375" s="31">
        <v>1.0059805579036348E-2</v>
      </c>
      <c r="M375" s="31">
        <v>8.0691671588895442E-3</v>
      </c>
      <c r="N375" s="31">
        <v>1.8032049689440981E-2</v>
      </c>
      <c r="O375" s="31">
        <v>1.0066189725101397E-2</v>
      </c>
      <c r="P375" s="31">
        <v>0</v>
      </c>
      <c r="Q375" s="32">
        <v>11.338319548557493</v>
      </c>
      <c r="R375" s="32">
        <v>3.1526627824580733</v>
      </c>
      <c r="S375" s="32">
        <v>50.770550073651386</v>
      </c>
      <c r="T375" s="32">
        <v>24.129043546843427</v>
      </c>
      <c r="U375" s="32">
        <v>3.1176785987539617</v>
      </c>
      <c r="V375" s="32">
        <v>3.0360413968029079</v>
      </c>
      <c r="W375" s="33">
        <v>0.59944444444444445</v>
      </c>
      <c r="X375" s="33">
        <v>-3.3121023800000025</v>
      </c>
    </row>
    <row r="376" spans="1:24" x14ac:dyDescent="0.15">
      <c r="A376" s="29" t="s">
        <v>337</v>
      </c>
      <c r="B376" s="30">
        <v>41.528116666666669</v>
      </c>
      <c r="C376" s="31">
        <v>6.7651990086018354E-2</v>
      </c>
      <c r="D376" s="31">
        <v>0.13995574468085104</v>
      </c>
      <c r="E376" s="31">
        <v>0.24570914291350232</v>
      </c>
      <c r="F376" s="31">
        <v>4.6985486211901309E-3</v>
      </c>
      <c r="G376" s="31">
        <v>3.6383177570093453E-3</v>
      </c>
      <c r="H376" s="31">
        <v>4.4286392077238626E-2</v>
      </c>
      <c r="I376" s="31">
        <v>7.9145728643216105E-4</v>
      </c>
      <c r="J376" s="31">
        <v>3.0274169184290023E-3</v>
      </c>
      <c r="K376" s="31">
        <v>8.0015588464536248E-3</v>
      </c>
      <c r="L376" s="31">
        <v>9.7485629754860536E-3</v>
      </c>
      <c r="M376" s="31">
        <v>7.9891612522150022E-3</v>
      </c>
      <c r="N376" s="31">
        <v>1.919478260869565E-2</v>
      </c>
      <c r="O376" s="31">
        <v>1.061457863902659E-2</v>
      </c>
      <c r="P376" s="31">
        <v>0</v>
      </c>
      <c r="Q376" s="32">
        <v>11.417745798896529</v>
      </c>
      <c r="R376" s="32">
        <v>3.1234304385481448</v>
      </c>
      <c r="S376" s="32">
        <v>50.422857883022083</v>
      </c>
      <c r="T376" s="32">
        <v>24.372614627273045</v>
      </c>
      <c r="U376" s="32">
        <v>3.1085735872772977</v>
      </c>
      <c r="V376" s="32">
        <v>3.031358528075589</v>
      </c>
      <c r="W376" s="33">
        <v>0.54166666666666663</v>
      </c>
      <c r="X376" s="33">
        <v>-3.3688870428571427</v>
      </c>
    </row>
    <row r="377" spans="1:24" x14ac:dyDescent="0.15">
      <c r="A377" s="29" t="s">
        <v>338</v>
      </c>
      <c r="B377" s="30">
        <v>41.560811111111107</v>
      </c>
      <c r="C377" s="31">
        <v>6.5350816445545981E-2</v>
      </c>
      <c r="D377" s="31">
        <v>0.15552000000000002</v>
      </c>
      <c r="E377" s="31">
        <v>0.24627625998619193</v>
      </c>
      <c r="F377" s="31">
        <v>2.7156748911465896E-3</v>
      </c>
      <c r="G377" s="31">
        <v>3.145794392523364E-3</v>
      </c>
      <c r="H377" s="31">
        <v>4.5939294741640067E-2</v>
      </c>
      <c r="I377" s="31">
        <v>7.9145728643216105E-4</v>
      </c>
      <c r="J377" s="31">
        <v>3.0274169184290023E-3</v>
      </c>
      <c r="K377" s="31">
        <v>7.8084177708495706E-3</v>
      </c>
      <c r="L377" s="31">
        <v>9.8597210481825865E-3</v>
      </c>
      <c r="M377" s="31">
        <v>8.21774955699941E-3</v>
      </c>
      <c r="N377" s="31">
        <v>1.8148322981366455E-2</v>
      </c>
      <c r="O377" s="31">
        <v>1.0205610635421362E-2</v>
      </c>
      <c r="P377" s="31">
        <v>0</v>
      </c>
      <c r="Q377" s="32">
        <v>11.277476615568773</v>
      </c>
      <c r="R377" s="32">
        <v>3.0870907802535226</v>
      </c>
      <c r="S377" s="32">
        <v>49.808866730165569</v>
      </c>
      <c r="T377" s="32">
        <v>23.054534490092514</v>
      </c>
      <c r="U377" s="32">
        <v>3.2291700459066557</v>
      </c>
      <c r="V377" s="32">
        <v>3.0587677360293282</v>
      </c>
      <c r="W377" s="33">
        <v>0.49099999999999994</v>
      </c>
      <c r="X377" s="33">
        <v>-3.2569190200000016</v>
      </c>
    </row>
    <row r="378" spans="1:24" x14ac:dyDescent="0.15">
      <c r="A378" s="29" t="s">
        <v>339</v>
      </c>
      <c r="B378" s="30">
        <v>41.593505555555552</v>
      </c>
      <c r="C378" s="31">
        <v>6.5438839480973884E-2</v>
      </c>
      <c r="D378" s="31">
        <v>0.14338723404255316</v>
      </c>
      <c r="E378" s="31">
        <v>0.24514202584081268</v>
      </c>
      <c r="F378" s="31">
        <v>4.8709724238026123E-3</v>
      </c>
      <c r="G378" s="31">
        <v>3.279252336448598E-3</v>
      </c>
      <c r="H378" s="31">
        <v>4.4183798118758534E-2</v>
      </c>
      <c r="I378" s="31">
        <v>7.6884422110552796E-4</v>
      </c>
      <c r="J378" s="31">
        <v>2.9501510574018127E-3</v>
      </c>
      <c r="K378" s="31">
        <v>7.9739672642244741E-3</v>
      </c>
      <c r="L378" s="31">
        <v>9.7374471682163989E-3</v>
      </c>
      <c r="M378" s="31">
        <v>7.7834317779090362E-3</v>
      </c>
      <c r="N378" s="31">
        <v>1.8400248447204968E-2</v>
      </c>
      <c r="O378" s="31">
        <v>1.1209441189725102E-2</v>
      </c>
      <c r="P378" s="31">
        <v>0</v>
      </c>
      <c r="Q378" s="32">
        <v>11.070119534530981</v>
      </c>
      <c r="R378" s="32">
        <v>3.0131666797889922</v>
      </c>
      <c r="S378" s="32">
        <v>50.880421596648915</v>
      </c>
      <c r="T378" s="32">
        <v>23.281964393321751</v>
      </c>
      <c r="U378" s="32">
        <v>3.1477325390753079</v>
      </c>
      <c r="V378" s="32">
        <v>2.9453579768037361</v>
      </c>
      <c r="W378" s="33">
        <v>0.44733333333333331</v>
      </c>
      <c r="X378" s="33">
        <v>-3.5297102000000002</v>
      </c>
    </row>
    <row r="379" spans="1:24" x14ac:dyDescent="0.15">
      <c r="A379" s="29" t="s">
        <v>340</v>
      </c>
      <c r="B379" s="30">
        <v>41.626199999999997</v>
      </c>
      <c r="C379" s="31">
        <v>6.8494496282256873E-2</v>
      </c>
      <c r="D379" s="31">
        <v>0.14301957446808508</v>
      </c>
      <c r="E379" s="31">
        <v>0.20257421836473025</v>
      </c>
      <c r="F379" s="31">
        <v>3.0174165457184324E-3</v>
      </c>
      <c r="G379" s="31">
        <v>3.1076635514018687E-3</v>
      </c>
      <c r="H379" s="31">
        <v>4.2542294783077104E-2</v>
      </c>
      <c r="I379" s="31">
        <v>6.3316582914572884E-4</v>
      </c>
      <c r="J379" s="31">
        <v>2.7956193353474317E-3</v>
      </c>
      <c r="K379" s="31">
        <v>7.9555728760717093E-3</v>
      </c>
      <c r="L379" s="31">
        <v>8.4813609467455642E-3</v>
      </c>
      <c r="M379" s="31">
        <v>6.5490549320732427E-3</v>
      </c>
      <c r="N379" s="31">
        <v>1.9059130434782603E-2</v>
      </c>
      <c r="O379" s="31">
        <v>1.0001126633618749E-2</v>
      </c>
      <c r="P379" s="31">
        <v>0</v>
      </c>
      <c r="Q379" s="32">
        <v>10.014811442717159</v>
      </c>
      <c r="R379" s="32">
        <v>2.6305094087079754</v>
      </c>
      <c r="S379" s="32">
        <v>47.157200332624633</v>
      </c>
      <c r="T379" s="32">
        <v>30.386119199957456</v>
      </c>
      <c r="U379" s="32">
        <v>2.7184434091157499</v>
      </c>
      <c r="V379" s="32">
        <v>2.5593875026956612</v>
      </c>
      <c r="W379" s="33">
        <v>0.69755555555555548</v>
      </c>
      <c r="X379" s="33">
        <v>-3.1490312399999993</v>
      </c>
    </row>
    <row r="380" spans="1:24" x14ac:dyDescent="0.15">
      <c r="A380" s="29" t="s">
        <v>341</v>
      </c>
      <c r="B380" s="30">
        <v>41.658894444444442</v>
      </c>
      <c r="C380" s="31">
        <v>6.8927114445982388E-2</v>
      </c>
      <c r="D380" s="31">
        <v>0.12183299389002043</v>
      </c>
      <c r="E380" s="31">
        <v>0.20977847005884381</v>
      </c>
      <c r="F380" s="31">
        <v>3.9399651972157777E-3</v>
      </c>
      <c r="G380" s="31">
        <v>3.7873417721518985E-3</v>
      </c>
      <c r="H380" s="31">
        <v>4.3116144517433057E-2</v>
      </c>
      <c r="I380" s="31">
        <v>6.9230769230769259E-4</v>
      </c>
      <c r="J380" s="31">
        <v>2.8095202398800596E-3</v>
      </c>
      <c r="K380" s="31">
        <v>8.3098591549295789E-3</v>
      </c>
      <c r="L380" s="31">
        <v>8.9102202145680386E-3</v>
      </c>
      <c r="M380" s="31">
        <v>6.2713612256923984E-3</v>
      </c>
      <c r="N380" s="31">
        <v>2.1403745318352055E-2</v>
      </c>
      <c r="O380" s="31">
        <v>1.1829453441295545E-2</v>
      </c>
      <c r="P380" s="31">
        <v>0</v>
      </c>
      <c r="Q380" s="32">
        <v>10.030460603960035</v>
      </c>
      <c r="R380" s="32">
        <v>2.6249680200068144</v>
      </c>
      <c r="S380" s="32">
        <v>48.538612885320219</v>
      </c>
      <c r="T380" s="32">
        <v>34.234080324085312</v>
      </c>
      <c r="U380" s="32">
        <v>2.6372003157611004</v>
      </c>
      <c r="V380" s="32">
        <v>2.477729058324551</v>
      </c>
      <c r="W380" s="33">
        <v>0.60422222222222233</v>
      </c>
      <c r="X380" s="33">
        <v>-3.2183953685714286</v>
      </c>
    </row>
    <row r="381" spans="1:24" x14ac:dyDescent="0.15">
      <c r="A381" s="29" t="s">
        <v>342</v>
      </c>
      <c r="B381" s="30">
        <v>41.691588888888887</v>
      </c>
      <c r="C381" s="31">
        <v>6.3950790413054598E-2</v>
      </c>
      <c r="D381" s="31">
        <v>0.12659877800407338</v>
      </c>
      <c r="E381" s="31">
        <v>0.24505810216090584</v>
      </c>
      <c r="F381" s="31">
        <v>5.2807656612528994E-3</v>
      </c>
      <c r="G381" s="31">
        <v>3.4971428571428571E-3</v>
      </c>
      <c r="H381" s="31">
        <v>4.389228145528045E-2</v>
      </c>
      <c r="I381" s="31">
        <v>7.961538461538465E-4</v>
      </c>
      <c r="J381" s="31">
        <v>2.823463268365817E-3</v>
      </c>
      <c r="K381" s="31">
        <v>8.3190923317683907E-3</v>
      </c>
      <c r="L381" s="31">
        <v>9.5673489553924334E-3</v>
      </c>
      <c r="M381" s="31">
        <v>7.6738656452563338E-3</v>
      </c>
      <c r="N381" s="31">
        <v>1.847265917602996E-2</v>
      </c>
      <c r="O381" s="31">
        <v>1.2534581646423751E-2</v>
      </c>
      <c r="P381" s="31">
        <v>0</v>
      </c>
      <c r="Q381" s="32">
        <v>11.099383795311867</v>
      </c>
      <c r="R381" s="32">
        <v>3.0346615738886844</v>
      </c>
      <c r="S381" s="32">
        <v>51.345186593178326</v>
      </c>
      <c r="T381" s="32">
        <v>24.638875277462748</v>
      </c>
      <c r="U381" s="32">
        <v>3.0849637204799123</v>
      </c>
      <c r="V381" s="32">
        <v>2.9271066014627793</v>
      </c>
      <c r="W381" s="33">
        <v>0.48788888888888887</v>
      </c>
      <c r="X381" s="33">
        <v>-3.5045974600000029</v>
      </c>
    </row>
    <row r="382" spans="1:24" x14ac:dyDescent="0.15">
      <c r="A382" s="29" t="s">
        <v>343</v>
      </c>
      <c r="B382" s="30">
        <v>41.724283333333332</v>
      </c>
      <c r="C382" s="31">
        <v>6.4566547679755254E-2</v>
      </c>
      <c r="D382" s="31">
        <v>0.1182892057026477</v>
      </c>
      <c r="E382" s="31">
        <v>0.24517183405033866</v>
      </c>
      <c r="F382" s="31">
        <v>3.9714849187935039E-3</v>
      </c>
      <c r="G382" s="31">
        <v>4.5620253164556958E-3</v>
      </c>
      <c r="H382" s="31">
        <v>4.2965550783223859E-2</v>
      </c>
      <c r="I382" s="31">
        <v>6.9230769230769259E-4</v>
      </c>
      <c r="J382" s="31">
        <v>2.948950524737631E-3</v>
      </c>
      <c r="K382" s="31">
        <v>8.3929577464788713E-3</v>
      </c>
      <c r="L382" s="31">
        <v>9.5896245059288541E-3</v>
      </c>
      <c r="M382" s="31">
        <v>7.4458161461402467E-3</v>
      </c>
      <c r="N382" s="31">
        <v>1.8083146067415731E-2</v>
      </c>
      <c r="O382" s="31">
        <v>1.0818151147098515E-2</v>
      </c>
      <c r="P382" s="31">
        <v>0</v>
      </c>
      <c r="Q382" s="32">
        <v>11.16249973119946</v>
      </c>
      <c r="R382" s="32">
        <v>2.9470128013893437</v>
      </c>
      <c r="S382" s="32">
        <v>51.053829525870491</v>
      </c>
      <c r="T382" s="32">
        <v>25.015314134161791</v>
      </c>
      <c r="U382" s="32">
        <v>3.0366587084600871</v>
      </c>
      <c r="V382" s="32">
        <v>2.9055196114185287</v>
      </c>
      <c r="W382" s="33">
        <v>0.45122222222222219</v>
      </c>
      <c r="X382" s="33">
        <v>-3.295288700000004</v>
      </c>
    </row>
    <row r="383" spans="1:24" x14ac:dyDescent="0.15">
      <c r="A383" s="29" t="s">
        <v>344</v>
      </c>
      <c r="B383" s="30">
        <v>41.756977777777777</v>
      </c>
      <c r="C383" s="31">
        <v>6.5509033292052182E-2</v>
      </c>
      <c r="D383" s="31">
        <v>0.13185336048879842</v>
      </c>
      <c r="E383" s="31">
        <v>0.23528853285862628</v>
      </c>
      <c r="F383" s="31">
        <v>3.2913863109048725E-3</v>
      </c>
      <c r="G383" s="31">
        <v>3.1762025316455691E-3</v>
      </c>
      <c r="H383" s="31">
        <v>4.2652779181404768E-2</v>
      </c>
      <c r="I383" s="31">
        <v>7.1538461538461556E-4</v>
      </c>
      <c r="J383" s="31">
        <v>2.9698650674662673E-3</v>
      </c>
      <c r="K383" s="31">
        <v>7.9682316118935871E-3</v>
      </c>
      <c r="L383" s="31">
        <v>9.4559712027103334E-3</v>
      </c>
      <c r="M383" s="31">
        <v>7.5940483205657033E-3</v>
      </c>
      <c r="N383" s="31">
        <v>1.8716104868913855E-2</v>
      </c>
      <c r="O383" s="31">
        <v>1.1040823211875841E-2</v>
      </c>
      <c r="P383" s="31">
        <v>0</v>
      </c>
      <c r="Q383" s="32">
        <v>11.05212311950303</v>
      </c>
      <c r="R383" s="32">
        <v>2.9241860534613622</v>
      </c>
      <c r="S383" s="32">
        <v>50.011719419252628</v>
      </c>
      <c r="T383" s="32">
        <v>26.110226427250705</v>
      </c>
      <c r="U383" s="32">
        <v>2.9754631346165477</v>
      </c>
      <c r="V383" s="32">
        <v>2.8989152196323813</v>
      </c>
      <c r="W383" s="33">
        <v>0.55788888888888888</v>
      </c>
      <c r="X383" s="33">
        <v>-3.2270639599999988</v>
      </c>
    </row>
    <row r="384" spans="1:24" x14ac:dyDescent="0.15">
      <c r="A384" s="29" t="s">
        <v>345</v>
      </c>
      <c r="B384" s="30">
        <v>41.789672222222222</v>
      </c>
      <c r="C384" s="31">
        <v>6.6087091134260964E-2</v>
      </c>
      <c r="D384" s="31">
        <v>0.14505091649694507</v>
      </c>
      <c r="E384" s="31">
        <v>0.22443851060673486</v>
      </c>
      <c r="F384" s="31">
        <v>4.3954424925422599E-3</v>
      </c>
      <c r="G384" s="31">
        <v>3.4528752260397826E-3</v>
      </c>
      <c r="H384" s="31">
        <v>4.4344062657908044E-2</v>
      </c>
      <c r="I384" s="31">
        <v>6.9230769230769259E-4</v>
      </c>
      <c r="J384" s="31">
        <v>3.0465517241379308E-3</v>
      </c>
      <c r="K384" s="31">
        <v>8.4945226917057925E-3</v>
      </c>
      <c r="L384" s="31">
        <v>9.4448334274421213E-3</v>
      </c>
      <c r="M384" s="31">
        <v>7.1493517972893335E-3</v>
      </c>
      <c r="N384" s="31">
        <v>1.8716104868913855E-2</v>
      </c>
      <c r="O384" s="31">
        <v>1.0920209176788123E-2</v>
      </c>
      <c r="P384" s="31">
        <v>0</v>
      </c>
      <c r="Q384" s="32">
        <v>10.888617656843538</v>
      </c>
      <c r="R384" s="32">
        <v>2.8619558299557482</v>
      </c>
      <c r="S384" s="32">
        <v>49.621366189768153</v>
      </c>
      <c r="T384" s="32">
        <v>26.371393116717485</v>
      </c>
      <c r="U384" s="32">
        <v>3.0099089298779309</v>
      </c>
      <c r="V384" s="32">
        <v>2.8549156905706101</v>
      </c>
      <c r="W384" s="33">
        <v>0.52500000000000002</v>
      </c>
      <c r="X384" s="33">
        <v>-3.5041663399999976</v>
      </c>
    </row>
    <row r="385" spans="1:24" x14ac:dyDescent="0.15">
      <c r="A385" s="29" t="s">
        <v>346</v>
      </c>
      <c r="B385" s="30">
        <v>41.822366666666667</v>
      </c>
      <c r="C385" s="31">
        <v>6.5106906097472161E-2</v>
      </c>
      <c r="D385" s="31">
        <v>0.14932790224032594</v>
      </c>
      <c r="E385" s="31">
        <v>0.22215249962913511</v>
      </c>
      <c r="F385" s="31">
        <v>4.8006960556844537E-3</v>
      </c>
      <c r="G385" s="31">
        <v>4.5241518987341771E-3</v>
      </c>
      <c r="H385" s="31">
        <v>4.4819012127337063E-2</v>
      </c>
      <c r="I385" s="31">
        <v>7.6153846153846183E-4</v>
      </c>
      <c r="J385" s="31">
        <v>3.0256371814092954E-3</v>
      </c>
      <c r="K385" s="31">
        <v>8.90078247261346E-3</v>
      </c>
      <c r="L385" s="31">
        <v>9.8235177865612644E-3</v>
      </c>
      <c r="M385" s="31">
        <v>7.1835592221567469E-3</v>
      </c>
      <c r="N385" s="31">
        <v>1.8355805243445687E-2</v>
      </c>
      <c r="O385" s="31">
        <v>1.1959345479082319E-2</v>
      </c>
      <c r="P385" s="31">
        <v>0</v>
      </c>
      <c r="Q385" s="32">
        <v>10.599592232739528</v>
      </c>
      <c r="R385" s="32">
        <v>2.9611597155398619</v>
      </c>
      <c r="S385" s="32">
        <v>50.236777821119666</v>
      </c>
      <c r="T385" s="32">
        <v>26.664660270865426</v>
      </c>
      <c r="U385" s="32">
        <v>2.8903598796367098</v>
      </c>
      <c r="V385" s="32">
        <v>2.7384240368020993</v>
      </c>
      <c r="W385" s="33">
        <v>0.45233333333333331</v>
      </c>
      <c r="X385" s="33">
        <v>-3.2854807199999989</v>
      </c>
    </row>
    <row r="386" spans="1:24" x14ac:dyDescent="0.15">
      <c r="A386" s="29" t="s">
        <v>347</v>
      </c>
      <c r="B386" s="30">
        <v>41.855061111111112</v>
      </c>
      <c r="C386" s="31">
        <v>6.5458767392729683E-2</v>
      </c>
      <c r="D386" s="31">
        <v>0.14883910386965385</v>
      </c>
      <c r="E386" s="31">
        <v>0.22555308312317654</v>
      </c>
      <c r="F386" s="31">
        <v>5.0370939675173998E-3</v>
      </c>
      <c r="G386" s="31">
        <v>4.1832911392405059E-3</v>
      </c>
      <c r="H386" s="31">
        <v>4.1621791308741794E-2</v>
      </c>
      <c r="I386" s="31">
        <v>6.9230769230769259E-4</v>
      </c>
      <c r="J386" s="31">
        <v>2.7816341829085454E-3</v>
      </c>
      <c r="K386" s="31">
        <v>8.1436619718309872E-3</v>
      </c>
      <c r="L386" s="31">
        <v>8.5092603049124783E-3</v>
      </c>
      <c r="M386" s="31">
        <v>7.137949322333529E-3</v>
      </c>
      <c r="N386" s="31">
        <v>1.9086142322097373E-2</v>
      </c>
      <c r="O386" s="31">
        <v>1.134699730094467E-2</v>
      </c>
      <c r="P386" s="31">
        <v>0</v>
      </c>
      <c r="Q386" s="32">
        <v>10.735445064126322</v>
      </c>
      <c r="R386" s="32">
        <v>2.8352818773208028</v>
      </c>
      <c r="S386" s="32">
        <v>50.615350253836141</v>
      </c>
      <c r="T386" s="32">
        <v>26.800208025347857</v>
      </c>
      <c r="U386" s="32">
        <v>2.8698797467309922</v>
      </c>
      <c r="V386" s="32">
        <v>2.7441359432117407</v>
      </c>
      <c r="W386" s="33">
        <v>0.42766666666666675</v>
      </c>
      <c r="X386" s="33">
        <v>-3.4674133599999948</v>
      </c>
    </row>
    <row r="387" spans="1:24" x14ac:dyDescent="0.15">
      <c r="A387" s="29" t="s">
        <v>348</v>
      </c>
      <c r="B387" s="30">
        <v>41.887755555555557</v>
      </c>
      <c r="C387" s="31">
        <v>6.7029909948542021E-2</v>
      </c>
      <c r="D387" s="31">
        <v>0.15027380747373856</v>
      </c>
      <c r="E387" s="31">
        <v>0.22374750655302592</v>
      </c>
      <c r="F387" s="31">
        <v>2.9228571428571433E-3</v>
      </c>
      <c r="G387" s="31">
        <v>3.5133333333333327E-3</v>
      </c>
      <c r="H387" s="31">
        <v>4.3871808376169198E-2</v>
      </c>
      <c r="I387" s="31">
        <v>7.1428571428571418E-4</v>
      </c>
      <c r="J387" s="31">
        <v>2.8722638680659671E-3</v>
      </c>
      <c r="K387" s="31">
        <v>8.8150197628458493E-3</v>
      </c>
      <c r="L387" s="31">
        <v>9.2988884138520758E-3</v>
      </c>
      <c r="M387" s="31">
        <v>7.0831756357185123E-3</v>
      </c>
      <c r="N387" s="31">
        <v>1.9215186721991698E-2</v>
      </c>
      <c r="O387" s="31">
        <v>1.1214043993231813E-2</v>
      </c>
      <c r="P387" s="31">
        <v>0</v>
      </c>
      <c r="Q387" s="32">
        <v>10.529248809303141</v>
      </c>
      <c r="R387" s="32">
        <v>2.848868479898365</v>
      </c>
      <c r="S387" s="32">
        <v>49.091891085339704</v>
      </c>
      <c r="T387" s="32">
        <v>28.477006388605247</v>
      </c>
      <c r="U387" s="32">
        <v>2.8067564370848888</v>
      </c>
      <c r="V387" s="32">
        <v>2.7308429184004428</v>
      </c>
      <c r="W387" s="33">
        <v>0.43777777777777777</v>
      </c>
      <c r="X387" s="33">
        <v>-3.491987199999997</v>
      </c>
    </row>
    <row r="388" spans="1:24" x14ac:dyDescent="0.15">
      <c r="A388" s="29" t="s">
        <v>349</v>
      </c>
      <c r="B388" s="30">
        <v>41.920450000000002</v>
      </c>
      <c r="C388" s="31">
        <v>6.7597019725557442E-2</v>
      </c>
      <c r="D388" s="31">
        <v>0.15560530394351643</v>
      </c>
      <c r="E388" s="31">
        <v>0.22033498738851615</v>
      </c>
      <c r="F388" s="31">
        <v>3.4414285714285723E-3</v>
      </c>
      <c r="G388" s="31">
        <v>3.6590476190476195E-3</v>
      </c>
      <c r="H388" s="31">
        <v>4.3802262576893902E-2</v>
      </c>
      <c r="I388" s="31">
        <v>7.1428571428571418E-4</v>
      </c>
      <c r="J388" s="31">
        <v>2.823463268365817E-3</v>
      </c>
      <c r="K388" s="31">
        <v>8.2739920948616593E-3</v>
      </c>
      <c r="L388" s="31">
        <v>9.5012825994014536E-3</v>
      </c>
      <c r="M388" s="31">
        <v>6.9916321703134268E-3</v>
      </c>
      <c r="N388" s="31">
        <v>1.8438423236514519E-2</v>
      </c>
      <c r="O388" s="31">
        <v>1.014382402707276E-2</v>
      </c>
      <c r="P388" s="31">
        <v>0</v>
      </c>
      <c r="Q388" s="32">
        <v>10.390464637387385</v>
      </c>
      <c r="R388" s="32">
        <v>2.8525870269667064</v>
      </c>
      <c r="S388" s="32">
        <v>48.630541801899483</v>
      </c>
      <c r="T388" s="32">
        <v>29.065337758227951</v>
      </c>
      <c r="U388" s="32">
        <v>2.7799643509979242</v>
      </c>
      <c r="V388" s="32">
        <v>2.6892626808562206</v>
      </c>
      <c r="W388" s="33">
        <v>0.55255555555555569</v>
      </c>
      <c r="X388" s="33">
        <v>-3.3301016399999988</v>
      </c>
    </row>
    <row r="389" spans="1:24" x14ac:dyDescent="0.15">
      <c r="A389" s="29" t="s">
        <v>350</v>
      </c>
      <c r="B389" s="30">
        <v>41.953144444444447</v>
      </c>
      <c r="C389" s="31">
        <v>6.7695647512864485E-2</v>
      </c>
      <c r="D389" s="31">
        <v>0.15932495264336144</v>
      </c>
      <c r="E389" s="31">
        <v>0.22056248866615014</v>
      </c>
      <c r="F389" s="31">
        <v>3.2245714285714291E-3</v>
      </c>
      <c r="G389" s="31">
        <v>2.9142857142857143E-3</v>
      </c>
      <c r="H389" s="31">
        <v>4.5193178562399926E-2</v>
      </c>
      <c r="I389" s="31">
        <v>7.1428571428571418E-4</v>
      </c>
      <c r="J389" s="31">
        <v>2.8513493253373313E-3</v>
      </c>
      <c r="K389" s="31">
        <v>8.1247430830039529E-3</v>
      </c>
      <c r="L389" s="31">
        <v>9.4113296280461736E-3</v>
      </c>
      <c r="M389" s="31">
        <v>7.0831756357185123E-3</v>
      </c>
      <c r="N389" s="31">
        <v>1.8506390041493771E-2</v>
      </c>
      <c r="O389" s="31">
        <v>1.069289340101523E-2</v>
      </c>
      <c r="P389" s="31">
        <v>0</v>
      </c>
      <c r="Q389" s="32">
        <v>10.441401435555804</v>
      </c>
      <c r="R389" s="32">
        <v>2.8472942044971687</v>
      </c>
      <c r="S389" s="32">
        <v>47.028744877214287</v>
      </c>
      <c r="T389" s="32">
        <v>27.501679103500649</v>
      </c>
      <c r="U389" s="32">
        <v>2.8054760506530148</v>
      </c>
      <c r="V389" s="32">
        <v>2.721033614585076</v>
      </c>
      <c r="W389" s="33">
        <v>0.4373333333333333</v>
      </c>
      <c r="X389" s="33">
        <v>-3.3739680999999955</v>
      </c>
    </row>
    <row r="390" spans="1:24" x14ac:dyDescent="0.15">
      <c r="A390" s="29" t="s">
        <v>351</v>
      </c>
      <c r="B390" s="30">
        <v>41.985838888888885</v>
      </c>
      <c r="C390" s="31">
        <v>6.753537735849055E-2</v>
      </c>
      <c r="D390" s="31">
        <v>0.15994489409333562</v>
      </c>
      <c r="E390" s="31">
        <v>0.22837715755287755</v>
      </c>
      <c r="F390" s="31">
        <v>3.3754285714285722E-3</v>
      </c>
      <c r="G390" s="31">
        <v>3.0357142857142857E-3</v>
      </c>
      <c r="H390" s="31">
        <v>4.3373396814696201E-2</v>
      </c>
      <c r="I390" s="31">
        <v>7.1428571428571418E-4</v>
      </c>
      <c r="J390" s="31">
        <v>2.8304347826086959E-3</v>
      </c>
      <c r="K390" s="31">
        <v>8.6191304347826084E-3</v>
      </c>
      <c r="L390" s="31">
        <v>9.7486532706284757E-3</v>
      </c>
      <c r="M390" s="31">
        <v>7.0145180366646964E-3</v>
      </c>
      <c r="N390" s="31">
        <v>1.8729709543568462E-2</v>
      </c>
      <c r="O390" s="31">
        <v>1.1083756345177664E-2</v>
      </c>
      <c r="P390" s="31">
        <v>0</v>
      </c>
      <c r="Q390" s="32">
        <v>10.567943243132905</v>
      </c>
      <c r="R390" s="32">
        <v>2.7805910700413312</v>
      </c>
      <c r="S390" s="32">
        <v>48.705484650709202</v>
      </c>
      <c r="T390" s="32">
        <v>26.902632288639285</v>
      </c>
      <c r="U390" s="32">
        <v>2.8085916576372409</v>
      </c>
      <c r="V390" s="32">
        <v>2.702435174551141</v>
      </c>
      <c r="W390" s="33">
        <v>0.35822222222222222</v>
      </c>
      <c r="X390" s="33">
        <v>-3.5300335400000016</v>
      </c>
    </row>
    <row r="391" spans="1:24" x14ac:dyDescent="0.15">
      <c r="A391" s="29" t="s">
        <v>352</v>
      </c>
      <c r="B391" s="30">
        <v>42.01853333333333</v>
      </c>
      <c r="C391" s="31">
        <v>6.9298349056603759E-2</v>
      </c>
      <c r="D391" s="31">
        <v>0.1408506974341312</v>
      </c>
      <c r="E391" s="31">
        <v>0.21563708600537429</v>
      </c>
      <c r="F391" s="31">
        <v>3.5828571428571433E-3</v>
      </c>
      <c r="G391" s="31">
        <v>2.2342857142857143E-3</v>
      </c>
      <c r="H391" s="31">
        <v>4.3582034212522124E-2</v>
      </c>
      <c r="I391" s="31">
        <v>6.19047619047619E-4</v>
      </c>
      <c r="J391" s="31">
        <v>2.8095202398800605E-3</v>
      </c>
      <c r="K391" s="31">
        <v>8.9269565217391308E-3</v>
      </c>
      <c r="L391" s="31">
        <v>9.1976913210773826E-3</v>
      </c>
      <c r="M391" s="31">
        <v>6.4194855115316399E-3</v>
      </c>
      <c r="N391" s="31">
        <v>1.928315352697095E-2</v>
      </c>
      <c r="O391" s="31">
        <v>1.1781725888324874E-2</v>
      </c>
      <c r="P391" s="31">
        <v>0</v>
      </c>
      <c r="Q391" s="32">
        <v>9.9299845652520613</v>
      </c>
      <c r="R391" s="32">
        <v>2.5492675854432139</v>
      </c>
      <c r="S391" s="32">
        <v>48.332850001579544</v>
      </c>
      <c r="T391" s="32">
        <v>28.489657267038471</v>
      </c>
      <c r="U391" s="32">
        <v>2.6947226242959119</v>
      </c>
      <c r="V391" s="32">
        <v>2.5185359519371162</v>
      </c>
      <c r="W391" s="33">
        <v>0.48155555555555551</v>
      </c>
      <c r="X391" s="33">
        <v>-3.5313268999999998</v>
      </c>
    </row>
    <row r="392" spans="1:24" x14ac:dyDescent="0.15">
      <c r="A392" s="29" t="s">
        <v>353</v>
      </c>
      <c r="B392" s="30">
        <v>42.051227777777775</v>
      </c>
      <c r="C392" s="31">
        <v>6.5217624356775278E-2</v>
      </c>
      <c r="D392" s="31">
        <v>0.14692612364387805</v>
      </c>
      <c r="E392" s="31">
        <v>0.2291392868329514</v>
      </c>
      <c r="F392" s="31">
        <v>4.4903571428571432E-3</v>
      </c>
      <c r="G392" s="31">
        <v>3.511020408163265E-3</v>
      </c>
      <c r="H392" s="31">
        <v>4.3187941349962074E-2</v>
      </c>
      <c r="I392" s="31">
        <v>7.1428571428571418E-4</v>
      </c>
      <c r="J392" s="31">
        <v>2.8862068965517236E-3</v>
      </c>
      <c r="K392" s="31">
        <v>8.3579446640316205E-3</v>
      </c>
      <c r="L392" s="31">
        <v>9.872338606241985E-3</v>
      </c>
      <c r="M392" s="31">
        <v>7.3921348314606753E-3</v>
      </c>
      <c r="N392" s="31">
        <v>1.8244232365145226E-2</v>
      </c>
      <c r="O392" s="31">
        <v>1.090693739424704E-2</v>
      </c>
      <c r="P392" s="31">
        <v>0</v>
      </c>
      <c r="Q392" s="32">
        <v>10.989820622719938</v>
      </c>
      <c r="R392" s="32">
        <v>2.9031402672206217</v>
      </c>
      <c r="S392" s="32">
        <v>49.783533382709052</v>
      </c>
      <c r="T392" s="32">
        <v>24.967995444191349</v>
      </c>
      <c r="U392" s="32">
        <v>2.9940983118419204</v>
      </c>
      <c r="V392" s="32">
        <v>2.871637257391515</v>
      </c>
      <c r="W392" s="33">
        <v>0.49755555555555564</v>
      </c>
      <c r="X392" s="33">
        <v>-3.4095355000000005</v>
      </c>
    </row>
    <row r="393" spans="1:24" x14ac:dyDescent="0.15">
      <c r="A393" s="29" t="s">
        <v>354</v>
      </c>
      <c r="B393" s="30">
        <v>42.08392222222222</v>
      </c>
      <c r="C393" s="31">
        <v>6.7227165523156052E-2</v>
      </c>
      <c r="D393" s="31">
        <v>0.13985879111417257</v>
      </c>
      <c r="E393" s="31">
        <v>0.22934403798282202</v>
      </c>
      <c r="F393" s="31">
        <v>4.1485714285714285E-3</v>
      </c>
      <c r="G393" s="31">
        <v>2.3800000000000002E-3</v>
      </c>
      <c r="H393" s="31">
        <v>4.2724302688126721E-2</v>
      </c>
      <c r="I393" s="31">
        <v>7.1428571428571418E-4</v>
      </c>
      <c r="J393" s="31">
        <v>2.9071214392803598E-3</v>
      </c>
      <c r="K393" s="31">
        <v>8.2833201581027673E-3</v>
      </c>
      <c r="L393" s="31">
        <v>8.7591705857203959E-3</v>
      </c>
      <c r="M393" s="31">
        <v>7.1060615020697828E-3</v>
      </c>
      <c r="N393" s="31">
        <v>1.881709543568464E-2</v>
      </c>
      <c r="O393" s="31">
        <v>1.0618443316412861E-2</v>
      </c>
      <c r="P393" s="31">
        <v>0</v>
      </c>
      <c r="Q393" s="32">
        <v>10.573733137341364</v>
      </c>
      <c r="R393" s="32">
        <v>2.9743490864453985</v>
      </c>
      <c r="S393" s="32">
        <v>48.732320274504396</v>
      </c>
      <c r="T393" s="32">
        <v>26.677849867776825</v>
      </c>
      <c r="U393" s="32">
        <v>2.8190268070570146</v>
      </c>
      <c r="V393" s="32">
        <v>2.7539031903412523</v>
      </c>
      <c r="W393" s="33">
        <v>0.59677777777777785</v>
      </c>
      <c r="X393" s="33">
        <v>-3.2105736200000052</v>
      </c>
    </row>
    <row r="394" spans="1:24" x14ac:dyDescent="0.15">
      <c r="A394" s="29" t="s">
        <v>355</v>
      </c>
      <c r="B394" s="30">
        <v>42.116616666666665</v>
      </c>
      <c r="C394" s="31">
        <v>6.8497084548104964E-2</v>
      </c>
      <c r="D394" s="31">
        <v>0.13618000338352224</v>
      </c>
      <c r="E394" s="31">
        <v>0.22315711826899434</v>
      </c>
      <c r="F394" s="31">
        <v>3.5357142857142866E-3</v>
      </c>
      <c r="G394" s="31">
        <v>3.6273478587528171E-3</v>
      </c>
      <c r="H394" s="31">
        <v>4.3449199846370516E-2</v>
      </c>
      <c r="I394" s="31">
        <v>6.9767441860465117E-4</v>
      </c>
      <c r="J394" s="31">
        <v>2.9604037267080756E-3</v>
      </c>
      <c r="K394" s="31">
        <v>8.1430132708821216E-3</v>
      </c>
      <c r="L394" s="31">
        <v>9.3320159794549849E-3</v>
      </c>
      <c r="M394" s="31">
        <v>6.9746050321825631E-3</v>
      </c>
      <c r="N394" s="31">
        <v>1.947559449311639E-2</v>
      </c>
      <c r="O394" s="31">
        <v>1.1457814973987785E-2</v>
      </c>
      <c r="P394" s="31">
        <v>0</v>
      </c>
      <c r="Q394" s="32">
        <v>10.54293917390355</v>
      </c>
      <c r="R394" s="32">
        <v>2.7783972363274523</v>
      </c>
      <c r="S394" s="32">
        <v>49.225485921052723</v>
      </c>
      <c r="T394" s="32">
        <v>28.208108801507922</v>
      </c>
      <c r="U394" s="32">
        <v>2.8998290723721922</v>
      </c>
      <c r="V394" s="32">
        <v>2.7291051157748933</v>
      </c>
      <c r="W394" s="33">
        <v>0.44855555555555554</v>
      </c>
      <c r="X394" s="33">
        <v>-3.4192357000000015</v>
      </c>
    </row>
    <row r="395" spans="1:24" x14ac:dyDescent="0.15">
      <c r="A395" s="29" t="s">
        <v>357</v>
      </c>
      <c r="B395" s="30">
        <v>42.175404117009748</v>
      </c>
      <c r="C395" s="31">
        <v>6.8997485056130625E-2</v>
      </c>
      <c r="D395" s="31">
        <v>0.18551995888298781</v>
      </c>
      <c r="E395" s="31">
        <v>0.1895015365553446</v>
      </c>
      <c r="F395" s="31">
        <v>2.7647875108412841E-3</v>
      </c>
      <c r="G395" s="31">
        <v>3.5045207956600349E-3</v>
      </c>
      <c r="H395" s="31">
        <v>4.5238821886505028E-2</v>
      </c>
      <c r="I395" s="31">
        <v>6.8010075566750643E-4</v>
      </c>
      <c r="J395" s="31">
        <v>2.9808608762490391E-3</v>
      </c>
      <c r="K395" s="31">
        <v>8.3070988481114376E-3</v>
      </c>
      <c r="L395" s="31">
        <v>9.6662592382035263E-3</v>
      </c>
      <c r="M395" s="31">
        <v>7.0529100529100556E-3</v>
      </c>
      <c r="N395" s="31">
        <v>1.9243035863219349E-2</v>
      </c>
      <c r="O395" s="31">
        <v>7.8381029309946924E-3</v>
      </c>
      <c r="P395" s="31">
        <v>0</v>
      </c>
      <c r="Q395" s="32">
        <v>10.528946706403618</v>
      </c>
      <c r="R395" s="32">
        <v>2.7042710685933753</v>
      </c>
      <c r="S395" s="32">
        <v>45.03034962869269</v>
      </c>
      <c r="T395" s="32">
        <v>34.881842588642911</v>
      </c>
      <c r="U395" s="32">
        <v>2.7507427515813609</v>
      </c>
      <c r="V395" s="32">
        <v>2.7161562512526563</v>
      </c>
      <c r="W395" s="33">
        <v>0.71700000000000008</v>
      </c>
      <c r="X395" s="33">
        <v>-3.089213339999997</v>
      </c>
    </row>
    <row r="396" spans="1:24" x14ac:dyDescent="0.15">
      <c r="A396" s="29" t="s">
        <v>358</v>
      </c>
      <c r="B396" s="30">
        <v>42.268080173347776</v>
      </c>
      <c r="C396" s="31">
        <v>7.0393278903630258E-2</v>
      </c>
      <c r="D396" s="31">
        <v>0.20032208326194959</v>
      </c>
      <c r="E396" s="31">
        <v>0.18769043912061756</v>
      </c>
      <c r="F396" s="31">
        <v>4.5750650477016479E-3</v>
      </c>
      <c r="G396" s="31">
        <v>3.0126582278480999E-3</v>
      </c>
      <c r="H396" s="31">
        <v>4.7986213025263437E-2</v>
      </c>
      <c r="I396" s="31">
        <v>6.8010075566750643E-4</v>
      </c>
      <c r="J396" s="31">
        <v>3.0308993082244426E-3</v>
      </c>
      <c r="K396" s="31">
        <v>8.3165818376640752E-3</v>
      </c>
      <c r="L396" s="31">
        <v>9.69990051165435E-3</v>
      </c>
      <c r="M396" s="31">
        <v>6.7912698412698428E-3</v>
      </c>
      <c r="N396" s="31">
        <v>1.9379649708090071E-2</v>
      </c>
      <c r="O396" s="31">
        <v>8.0062889453034868E-3</v>
      </c>
      <c r="P396" s="31">
        <v>0</v>
      </c>
      <c r="Q396" s="32">
        <v>10.237573477474211</v>
      </c>
      <c r="R396" s="32">
        <v>2.8598603654166048</v>
      </c>
      <c r="S396" s="32">
        <v>44.105367490541425</v>
      </c>
      <c r="T396" s="32">
        <v>32.6289435540737</v>
      </c>
      <c r="U396" s="32">
        <v>2.7943823690308962</v>
      </c>
      <c r="V396" s="32">
        <v>2.6977800937988534</v>
      </c>
      <c r="W396" s="33">
        <v>0.63633333333333342</v>
      </c>
      <c r="X396" s="33">
        <v>-3.1579769800000044</v>
      </c>
    </row>
    <row r="397" spans="1:24" x14ac:dyDescent="0.15">
      <c r="A397" s="29" t="s">
        <v>359</v>
      </c>
      <c r="B397" s="30">
        <v>42.360756229685805</v>
      </c>
      <c r="C397" s="31">
        <v>6.7865760314914717E-2</v>
      </c>
      <c r="D397" s="31">
        <v>0.16566044200788077</v>
      </c>
      <c r="E397" s="31">
        <v>0.19711714502310948</v>
      </c>
      <c r="F397" s="31">
        <v>3.7083261058109287E-3</v>
      </c>
      <c r="G397" s="31">
        <v>4.3652802893309204E-3</v>
      </c>
      <c r="H397" s="31">
        <v>4.5134048495620173E-2</v>
      </c>
      <c r="I397" s="31">
        <v>6.8010075566750643E-4</v>
      </c>
      <c r="J397" s="31">
        <v>3.0737893927747883E-3</v>
      </c>
      <c r="K397" s="31">
        <v>7.956228234663805E-3</v>
      </c>
      <c r="L397" s="31">
        <v>9.8793206367254124E-3</v>
      </c>
      <c r="M397" s="31">
        <v>7.1097883597883629E-3</v>
      </c>
      <c r="N397" s="31">
        <v>1.9077147623019184E-2</v>
      </c>
      <c r="O397" s="31">
        <v>8.3966074313408731E-3</v>
      </c>
      <c r="P397" s="31">
        <v>0</v>
      </c>
      <c r="Q397" s="32">
        <v>10.371755187145174</v>
      </c>
      <c r="R397" s="32">
        <v>2.8534326018013876</v>
      </c>
      <c r="S397" s="32">
        <v>44.236272022217221</v>
      </c>
      <c r="T397" s="32">
        <v>30.04136187549512</v>
      </c>
      <c r="U397" s="32">
        <v>2.7409233057242375</v>
      </c>
      <c r="V397" s="32">
        <v>2.7182919789954703</v>
      </c>
      <c r="W397" s="33">
        <v>0.9364444444444443</v>
      </c>
      <c r="X397" s="33">
        <v>-2.8647075999999991</v>
      </c>
    </row>
    <row r="398" spans="1:24" x14ac:dyDescent="0.15">
      <c r="A398" s="29" t="s">
        <v>360</v>
      </c>
      <c r="B398" s="30">
        <v>42.453432286023833</v>
      </c>
      <c r="C398" s="31">
        <v>6.9035209214171167E-2</v>
      </c>
      <c r="D398" s="31">
        <v>0.1555456570155902</v>
      </c>
      <c r="E398" s="31">
        <v>0.19887199719588841</v>
      </c>
      <c r="F398" s="31">
        <v>3.910199479618388E-3</v>
      </c>
      <c r="G398" s="31">
        <v>3.3139240506329108E-3</v>
      </c>
      <c r="H398" s="31">
        <v>4.3876767805001909E-2</v>
      </c>
      <c r="I398" s="31">
        <v>6.8010075566750643E-4</v>
      </c>
      <c r="J398" s="31">
        <v>3.0451960030745575E-3</v>
      </c>
      <c r="K398" s="31">
        <v>8.1648540048218556E-3</v>
      </c>
      <c r="L398" s="31">
        <v>9.8120380898237634E-3</v>
      </c>
      <c r="M398" s="31">
        <v>6.9960317460317483E-3</v>
      </c>
      <c r="N398" s="31">
        <v>1.9360133444537114E-2</v>
      </c>
      <c r="O398" s="31">
        <v>7.9206092776367403E-3</v>
      </c>
      <c r="P398" s="31">
        <v>0</v>
      </c>
      <c r="Q398" s="32">
        <v>10.468845853116818</v>
      </c>
      <c r="R398" s="32">
        <v>2.8229241104634655</v>
      </c>
      <c r="S398" s="32">
        <v>45.106038038360865</v>
      </c>
      <c r="T398" s="32">
        <v>31.138677734153966</v>
      </c>
      <c r="U398" s="32">
        <v>2.7426361234739636</v>
      </c>
      <c r="V398" s="32">
        <v>2.7212730989698164</v>
      </c>
      <c r="W398" s="33">
        <v>0.55933333333333335</v>
      </c>
      <c r="X398" s="33">
        <v>-3.0836087799999987</v>
      </c>
    </row>
    <row r="399" spans="1:24" x14ac:dyDescent="0.15">
      <c r="A399" s="29" t="s">
        <v>361</v>
      </c>
      <c r="B399" s="30">
        <v>42.546108342361862</v>
      </c>
      <c r="C399" s="31">
        <v>7.016693395538709E-2</v>
      </c>
      <c r="D399" s="31">
        <v>0.1507349665924276</v>
      </c>
      <c r="E399" s="31">
        <v>0.1845069572943584</v>
      </c>
      <c r="F399" s="31">
        <v>4.0286903729401576E-3</v>
      </c>
      <c r="G399" s="31">
        <v>3.8887884267631095E-3</v>
      </c>
      <c r="H399" s="31">
        <v>4.4866294274469989E-2</v>
      </c>
      <c r="I399" s="31">
        <v>5.6675062972292222E-4</v>
      </c>
      <c r="J399" s="31">
        <v>2.9236740968485776E-3</v>
      </c>
      <c r="K399" s="31">
        <v>8.0795070988481116E-3</v>
      </c>
      <c r="L399" s="31">
        <v>9.69990051165435E-3</v>
      </c>
      <c r="M399" s="31">
        <v>6.8026455026455063E-3</v>
      </c>
      <c r="N399" s="31">
        <v>1.9604086738949124E-2</v>
      </c>
      <c r="O399" s="31">
        <v>8.6441264712670222E-3</v>
      </c>
      <c r="P399" s="31">
        <v>0</v>
      </c>
      <c r="Q399" s="32">
        <v>10.058900736946677</v>
      </c>
      <c r="R399" s="32">
        <v>2.5222357339437136</v>
      </c>
      <c r="S399" s="32">
        <v>44.63486921273681</v>
      </c>
      <c r="T399" s="32">
        <v>33.185031948881786</v>
      </c>
      <c r="U399" s="32">
        <v>2.676655404941048</v>
      </c>
      <c r="V399" s="32">
        <v>2.5846198941756526</v>
      </c>
      <c r="W399" s="33">
        <v>0.64055555555555554</v>
      </c>
      <c r="X399" s="33">
        <v>-3.1242418400000034</v>
      </c>
    </row>
    <row r="400" spans="1:24" x14ac:dyDescent="0.15">
      <c r="A400" s="29" t="s">
        <v>362</v>
      </c>
      <c r="B400" s="30">
        <v>42.63878439869989</v>
      </c>
      <c r="C400" s="31">
        <v>7.0380704184283424E-2</v>
      </c>
      <c r="D400" s="31">
        <v>0.1634401233510365</v>
      </c>
      <c r="E400" s="31">
        <v>0.19055894747996774</v>
      </c>
      <c r="F400" s="31">
        <v>3.0445576756287949E-3</v>
      </c>
      <c r="G400" s="31">
        <v>4.0886075949367068E-3</v>
      </c>
      <c r="H400" s="31">
        <v>4.5168972959248453E-2</v>
      </c>
      <c r="I400" s="31">
        <v>5.8942065491183885E-4</v>
      </c>
      <c r="J400" s="31">
        <v>2.9093774019984626E-3</v>
      </c>
      <c r="K400" s="31">
        <v>8.1933029734797738E-3</v>
      </c>
      <c r="L400" s="31">
        <v>9.6214042069357603E-3</v>
      </c>
      <c r="M400" s="31">
        <v>6.6433862433862454E-3</v>
      </c>
      <c r="N400" s="31">
        <v>1.9360133444537114E-2</v>
      </c>
      <c r="O400" s="31">
        <v>7.5683706438956855E-3</v>
      </c>
      <c r="P400" s="31">
        <v>0</v>
      </c>
      <c r="Q400" s="32">
        <v>10.215322900495201</v>
      </c>
      <c r="R400" s="32">
        <v>2.5224228206185844</v>
      </c>
      <c r="S400" s="32">
        <v>43.649487264356196</v>
      </c>
      <c r="T400" s="32">
        <v>34.047740160702006</v>
      </c>
      <c r="U400" s="32">
        <v>2.7121352011853683</v>
      </c>
      <c r="V400" s="32">
        <v>2.6155100813725101</v>
      </c>
      <c r="W400" s="33">
        <v>0.67544444444444429</v>
      </c>
      <c r="X400" s="33">
        <v>-3.046748019999999</v>
      </c>
    </row>
    <row r="401" spans="1:24" x14ac:dyDescent="0.15">
      <c r="A401" s="29" t="s">
        <v>363</v>
      </c>
      <c r="B401" s="30">
        <v>42.731460455037919</v>
      </c>
      <c r="C401" s="31">
        <v>7.3587257617728538E-2</v>
      </c>
      <c r="D401" s="31">
        <v>0.16923762206612986</v>
      </c>
      <c r="E401" s="31">
        <v>0.17999608728612543</v>
      </c>
      <c r="F401" s="31">
        <v>3.192671292281006E-3</v>
      </c>
      <c r="G401" s="31">
        <v>3.9541139240506316E-3</v>
      </c>
      <c r="H401" s="31">
        <v>4.5937311159070716E-2</v>
      </c>
      <c r="I401" s="31">
        <v>5.6675062972292222E-4</v>
      </c>
      <c r="J401" s="31">
        <v>2.9665641813989238E-3</v>
      </c>
      <c r="K401" s="31">
        <v>8.2502009107956048E-3</v>
      </c>
      <c r="L401" s="31">
        <v>9.1392126208072796E-3</v>
      </c>
      <c r="M401" s="31">
        <v>6.6433862433862454E-3</v>
      </c>
      <c r="N401" s="31">
        <v>1.9408924103419514E-2</v>
      </c>
      <c r="O401" s="31">
        <v>6.5878144472651754E-3</v>
      </c>
      <c r="P401" s="31">
        <v>0</v>
      </c>
      <c r="Q401" s="32">
        <v>9.7817605886507959</v>
      </c>
      <c r="R401" s="32">
        <v>2.435841780154985</v>
      </c>
      <c r="S401" s="32">
        <v>42.071590067337752</v>
      </c>
      <c r="T401" s="32">
        <v>36.30233844921694</v>
      </c>
      <c r="U401" s="32">
        <v>2.6392393799361686</v>
      </c>
      <c r="V401" s="32">
        <v>2.5198917705535742</v>
      </c>
      <c r="W401" s="33">
        <v>0.80355555555555558</v>
      </c>
      <c r="X401" s="33">
        <v>-2.9576139599999998</v>
      </c>
    </row>
    <row r="402" spans="1:24" x14ac:dyDescent="0.15">
      <c r="A402" s="29" t="s">
        <v>364</v>
      </c>
      <c r="B402" s="30">
        <v>42.824136511375947</v>
      </c>
      <c r="C402" s="31">
        <v>7.0971283783783798E-2</v>
      </c>
      <c r="D402" s="31">
        <v>0.15903364969801553</v>
      </c>
      <c r="E402" s="31">
        <v>0.18155680432418184</v>
      </c>
      <c r="F402" s="31">
        <v>4.6718362831858406E-3</v>
      </c>
      <c r="G402" s="31">
        <v>2.6457064256238945E-3</v>
      </c>
      <c r="H402" s="31">
        <v>4.6547271565495221E-2</v>
      </c>
      <c r="I402" s="31">
        <v>5.7954545454545498E-4</v>
      </c>
      <c r="J402" s="31">
        <v>2.8631779984721164E-3</v>
      </c>
      <c r="K402" s="31">
        <v>8.4821757322175746E-3</v>
      </c>
      <c r="L402" s="31">
        <v>9.2471522610188886E-3</v>
      </c>
      <c r="M402" s="31">
        <v>6.6956598759964547E-3</v>
      </c>
      <c r="N402" s="31">
        <v>2.037071307300509E-2</v>
      </c>
      <c r="O402" s="31">
        <v>8.0854042702135104E-3</v>
      </c>
      <c r="P402" s="31">
        <v>0</v>
      </c>
      <c r="Q402" s="32">
        <v>10.258490211393584</v>
      </c>
      <c r="R402" s="32">
        <v>2.5480749036238124</v>
      </c>
      <c r="S402" s="32">
        <v>44.050518183837404</v>
      </c>
      <c r="T402" s="32">
        <v>35.966731813436958</v>
      </c>
      <c r="U402" s="32">
        <v>2.7734529883381924</v>
      </c>
      <c r="V402" s="32">
        <v>2.5517770039331538</v>
      </c>
      <c r="W402" s="33">
        <v>0.69611111111111112</v>
      </c>
      <c r="X402" s="33">
        <v>-3.1109848999999983</v>
      </c>
    </row>
    <row r="403" spans="1:24" x14ac:dyDescent="0.15">
      <c r="A403" s="29" t="s">
        <v>365</v>
      </c>
      <c r="B403" s="30">
        <v>42.916812567713976</v>
      </c>
      <c r="C403" s="31">
        <v>7.0553209459459476E-2</v>
      </c>
      <c r="D403" s="31">
        <v>0.1533183779119931</v>
      </c>
      <c r="E403" s="31">
        <v>0.20158069938367221</v>
      </c>
      <c r="F403" s="31">
        <v>3.9143173198482942E-3</v>
      </c>
      <c r="G403" s="31">
        <v>3.3747455295735905E-3</v>
      </c>
      <c r="H403" s="31">
        <v>4.7777750798722055E-2</v>
      </c>
      <c r="I403" s="31">
        <v>6.704545454545458E-4</v>
      </c>
      <c r="J403" s="31">
        <v>2.9555385790679908E-3</v>
      </c>
      <c r="K403" s="31">
        <v>8.5512970711297091E-3</v>
      </c>
      <c r="L403" s="31">
        <v>9.6762020606754439E-3</v>
      </c>
      <c r="M403" s="31">
        <v>6.9127546501328591E-3</v>
      </c>
      <c r="N403" s="31">
        <v>2.0062818336162986E-2</v>
      </c>
      <c r="O403" s="31">
        <v>8.3356667833391664E-3</v>
      </c>
      <c r="P403" s="31">
        <v>0</v>
      </c>
      <c r="Q403" s="32">
        <v>10.403584570031997</v>
      </c>
      <c r="R403" s="32">
        <v>2.672592362980041</v>
      </c>
      <c r="S403" s="32">
        <v>45.028136168885588</v>
      </c>
      <c r="T403" s="32">
        <v>34.520882025280926</v>
      </c>
      <c r="U403" s="32">
        <v>2.8734809833024126</v>
      </c>
      <c r="V403" s="32">
        <v>2.665345009704069</v>
      </c>
      <c r="W403" s="33">
        <v>0.61633333333333329</v>
      </c>
      <c r="X403" s="33">
        <v>-3.122086239999998</v>
      </c>
    </row>
    <row r="404" spans="1:24" x14ac:dyDescent="0.15">
      <c r="A404" s="29" t="s">
        <v>366</v>
      </c>
      <c r="B404" s="30">
        <v>43.009488624052004</v>
      </c>
      <c r="C404" s="31">
        <v>7.4835304054054072E-2</v>
      </c>
      <c r="D404" s="31">
        <v>0.14660914581535808</v>
      </c>
      <c r="E404" s="31">
        <v>0.14440855607923272</v>
      </c>
      <c r="F404" s="31">
        <v>1.6098451327433627E-3</v>
      </c>
      <c r="G404" s="31">
        <v>2.4899037138927096E-3</v>
      </c>
      <c r="H404" s="31">
        <v>4.5340230031948883E-2</v>
      </c>
      <c r="I404" s="31">
        <v>4.5454545454545492E-4</v>
      </c>
      <c r="J404" s="31">
        <v>2.9342245989304816E-3</v>
      </c>
      <c r="K404" s="31">
        <v>8.9660251046025097E-3</v>
      </c>
      <c r="L404" s="31">
        <v>9.2697338294218667E-3</v>
      </c>
      <c r="M404" s="31">
        <v>4.9817537643932668E-3</v>
      </c>
      <c r="N404" s="31">
        <v>2.1006366723259763E-2</v>
      </c>
      <c r="O404" s="31">
        <v>6.2373118655932799E-3</v>
      </c>
      <c r="P404" s="31">
        <v>0</v>
      </c>
      <c r="Q404" s="32">
        <v>8.5074216029630385</v>
      </c>
      <c r="R404" s="32">
        <v>2.0472906069796828</v>
      </c>
      <c r="S404" s="32">
        <v>39.241486877924324</v>
      </c>
      <c r="T404" s="32">
        <v>47.933974157668054</v>
      </c>
      <c r="U404" s="32">
        <v>2.21308466406043</v>
      </c>
      <c r="V404" s="32">
        <v>1.9505738711505767</v>
      </c>
      <c r="W404" s="33">
        <v>0.71888888888888891</v>
      </c>
      <c r="X404" s="33">
        <v>-3.0248686800000009</v>
      </c>
    </row>
    <row r="405" spans="1:24" x14ac:dyDescent="0.15">
      <c r="A405" s="29" t="s">
        <v>367</v>
      </c>
      <c r="B405" s="30">
        <v>43.102164680390032</v>
      </c>
      <c r="C405" s="31">
        <v>7.1984797297297315E-2</v>
      </c>
      <c r="D405" s="31">
        <v>0.12772389991371874</v>
      </c>
      <c r="E405" s="31">
        <v>0.17333575030486797</v>
      </c>
      <c r="F405" s="31">
        <v>3.4127074115044252E-3</v>
      </c>
      <c r="G405" s="31">
        <v>3.549656121045392E-3</v>
      </c>
      <c r="H405" s="31">
        <v>4.4754287539936106E-2</v>
      </c>
      <c r="I405" s="31">
        <v>5.681818181818187E-4</v>
      </c>
      <c r="J405" s="31">
        <v>2.9697478991596638E-3</v>
      </c>
      <c r="K405" s="31">
        <v>9.2523849372384958E-3</v>
      </c>
      <c r="L405" s="31">
        <v>9.2923153978248432E-3</v>
      </c>
      <c r="M405" s="31">
        <v>6.192914083259519E-3</v>
      </c>
      <c r="N405" s="31">
        <v>2.0489898132427846E-2</v>
      </c>
      <c r="O405" s="31">
        <v>8.066153307665384E-3</v>
      </c>
      <c r="P405" s="31">
        <v>0</v>
      </c>
      <c r="Q405" s="32">
        <v>9.5120113885459432</v>
      </c>
      <c r="R405" s="32">
        <v>2.2842241188281602</v>
      </c>
      <c r="S405" s="32">
        <v>42.390451154624714</v>
      </c>
      <c r="T405" s="32">
        <v>39.23919972982219</v>
      </c>
      <c r="U405" s="32">
        <v>2.4825896998409753</v>
      </c>
      <c r="V405" s="32">
        <v>2.3525770314137029</v>
      </c>
      <c r="W405" s="33">
        <v>0.5514444444444444</v>
      </c>
      <c r="X405" s="33">
        <v>-3.2795528200000028</v>
      </c>
    </row>
    <row r="406" spans="1:24" x14ac:dyDescent="0.15">
      <c r="A406" s="29" t="s">
        <v>368</v>
      </c>
      <c r="B406" s="30">
        <v>43.194840736728061</v>
      </c>
      <c r="C406" s="31">
        <v>7.2098817567567586E-2</v>
      </c>
      <c r="D406" s="31">
        <v>0.12474201898188096</v>
      </c>
      <c r="E406" s="31">
        <v>0.15447167199499023</v>
      </c>
      <c r="F406" s="31">
        <v>3.7847787610619465E-3</v>
      </c>
      <c r="G406" s="31">
        <v>2.709399358092618E-3</v>
      </c>
      <c r="H406" s="31">
        <v>4.3324587859424946E-2</v>
      </c>
      <c r="I406" s="31">
        <v>5.681818181818187E-4</v>
      </c>
      <c r="J406" s="31">
        <v>2.9484339190221547E-3</v>
      </c>
      <c r="K406" s="31">
        <v>8.6500418410041854E-3</v>
      </c>
      <c r="L406" s="31">
        <v>9.3374785346307977E-3</v>
      </c>
      <c r="M406" s="31">
        <v>5.8844109831709462E-3</v>
      </c>
      <c r="N406" s="31">
        <v>2.0430305602716466E-2</v>
      </c>
      <c r="O406" s="31">
        <v>7.2576128806440335E-3</v>
      </c>
      <c r="P406" s="31">
        <v>0</v>
      </c>
      <c r="Q406" s="32">
        <v>9.430373655168939</v>
      </c>
      <c r="R406" s="32">
        <v>2.2471844536201746</v>
      </c>
      <c r="S406" s="32">
        <v>42.195318915271585</v>
      </c>
      <c r="T406" s="32">
        <v>41.672451468872538</v>
      </c>
      <c r="U406" s="32">
        <v>2.481393039358601</v>
      </c>
      <c r="V406" s="32">
        <v>2.2824144238531168</v>
      </c>
      <c r="W406" s="33">
        <v>0.73533333333333328</v>
      </c>
      <c r="X406" s="33">
        <v>-2.951147160000005</v>
      </c>
    </row>
    <row r="407" spans="1:24" x14ac:dyDescent="0.15">
      <c r="A407" s="29" t="s">
        <v>369</v>
      </c>
      <c r="B407" s="30">
        <v>43.287516793066089</v>
      </c>
      <c r="C407" s="31">
        <v>6.8424831081081092E-2</v>
      </c>
      <c r="D407" s="31">
        <v>0.16089732528041414</v>
      </c>
      <c r="E407" s="31">
        <v>0.20780050097228173</v>
      </c>
      <c r="F407" s="31">
        <v>3.7875948166877374E-3</v>
      </c>
      <c r="G407" s="31">
        <v>3.5110729023383773E-3</v>
      </c>
      <c r="H407" s="31">
        <v>4.4789444089456884E-2</v>
      </c>
      <c r="I407" s="31">
        <v>6.818181818181822E-4</v>
      </c>
      <c r="J407" s="31">
        <v>2.9768525592054999E-3</v>
      </c>
      <c r="K407" s="31">
        <v>8.571046025104603E-3</v>
      </c>
      <c r="L407" s="31">
        <v>9.7778191184888386E-3</v>
      </c>
      <c r="M407" s="31">
        <v>7.152701505757305E-3</v>
      </c>
      <c r="N407" s="31">
        <v>1.9893972835314092E-2</v>
      </c>
      <c r="O407" s="31">
        <v>9.4233461673083677E-3</v>
      </c>
      <c r="P407" s="31">
        <v>0</v>
      </c>
      <c r="Q407" s="32">
        <v>10.410259416966918</v>
      </c>
      <c r="R407" s="32">
        <v>2.8054136606374103</v>
      </c>
      <c r="S407" s="32">
        <v>45.304961586092254</v>
      </c>
      <c r="T407" s="32">
        <v>30.010648514460655</v>
      </c>
      <c r="U407" s="32">
        <v>2.9282923071826139</v>
      </c>
      <c r="V407" s="32">
        <v>2.6916128935300487</v>
      </c>
      <c r="W407" s="33">
        <v>0.43522222222222218</v>
      </c>
      <c r="X407" s="33">
        <v>-3.0158151600000025</v>
      </c>
    </row>
    <row r="408" spans="1:24" x14ac:dyDescent="0.15">
      <c r="A408" s="29" t="s">
        <v>370</v>
      </c>
      <c r="B408" s="30">
        <v>43.380192849404118</v>
      </c>
      <c r="C408" s="31">
        <v>7.093327702702705E-2</v>
      </c>
      <c r="D408" s="31">
        <v>0.12648144952545298</v>
      </c>
      <c r="E408" s="31">
        <v>0.19167677400217523</v>
      </c>
      <c r="F408" s="31">
        <v>3.400387168141593E-3</v>
      </c>
      <c r="G408" s="31">
        <v>3.4541167223423063E-3</v>
      </c>
      <c r="H408" s="31">
        <v>4.5457418530351457E-2</v>
      </c>
      <c r="I408" s="31">
        <v>5.681818181818187E-4</v>
      </c>
      <c r="J408" s="31">
        <v>2.8489686783804442E-3</v>
      </c>
      <c r="K408" s="31">
        <v>8.6500418410041854E-3</v>
      </c>
      <c r="L408" s="31">
        <v>8.7729393245563839E-3</v>
      </c>
      <c r="M408" s="31">
        <v>6.1586359610274555E-3</v>
      </c>
      <c r="N408" s="31">
        <v>1.9735059422750428E-2</v>
      </c>
      <c r="O408" s="31">
        <v>9.7409870493524696E-3</v>
      </c>
      <c r="P408" s="31">
        <v>0</v>
      </c>
      <c r="Q408" s="32">
        <v>9.8618179344402712</v>
      </c>
      <c r="R408" s="32">
        <v>2.2778056930881485</v>
      </c>
      <c r="S408" s="32">
        <v>45.434065885630645</v>
      </c>
      <c r="T408" s="32">
        <v>34.906341327555509</v>
      </c>
      <c r="U408" s="32">
        <v>2.7105107838589988</v>
      </c>
      <c r="V408" s="32">
        <v>2.3801238342235886</v>
      </c>
      <c r="W408" s="33">
        <v>0.45355555555555555</v>
      </c>
      <c r="X408" s="33">
        <v>-2.991025760000003</v>
      </c>
    </row>
    <row r="409" spans="1:24" x14ac:dyDescent="0.15">
      <c r="A409" s="29" t="s">
        <v>371</v>
      </c>
      <c r="B409" s="30">
        <v>43.472868905742146</v>
      </c>
      <c r="C409" s="31">
        <v>7.0491383754326536E-2</v>
      </c>
      <c r="D409" s="31">
        <v>0.12069719753930282</v>
      </c>
      <c r="E409" s="31">
        <v>0.20569725451397475</v>
      </c>
      <c r="F409" s="31">
        <v>3.6418168709444849E-3</v>
      </c>
      <c r="G409" s="31">
        <v>3.5245968924069175E-3</v>
      </c>
      <c r="H409" s="31">
        <v>4.4760498881526202E-2</v>
      </c>
      <c r="I409" s="31">
        <v>6.818181818181822E-4</v>
      </c>
      <c r="J409" s="31">
        <v>2.877735849056603E-3</v>
      </c>
      <c r="K409" s="31">
        <v>7.9966413867822335E-3</v>
      </c>
      <c r="L409" s="31">
        <v>9.2078279569892466E-3</v>
      </c>
      <c r="M409" s="31">
        <v>6.7304347826086953E-3</v>
      </c>
      <c r="N409" s="31">
        <v>2.0629455445544551E-2</v>
      </c>
      <c r="O409" s="31">
        <v>1.0937318292824747E-2</v>
      </c>
      <c r="P409" s="31">
        <v>0</v>
      </c>
      <c r="Q409" s="32">
        <v>10.404384230508132</v>
      </c>
      <c r="R409" s="32">
        <v>2.6776489215244066</v>
      </c>
      <c r="S409" s="32">
        <v>47.313098709584025</v>
      </c>
      <c r="T409" s="32">
        <v>32.298826171011463</v>
      </c>
      <c r="U409" s="32">
        <v>2.8761842061457545</v>
      </c>
      <c r="V409" s="32">
        <v>2.6727995883273659</v>
      </c>
      <c r="W409" s="33">
        <v>0.49988888888888883</v>
      </c>
      <c r="X409" s="33">
        <v>-3.1339420400000009</v>
      </c>
    </row>
    <row r="410" spans="1:24" x14ac:dyDescent="0.15">
      <c r="A410" s="29" t="s">
        <v>372</v>
      </c>
      <c r="B410" s="30">
        <v>43.565544962080175</v>
      </c>
      <c r="C410" s="31">
        <v>7.3222623168127263E-2</v>
      </c>
      <c r="D410" s="31">
        <v>0.109377990430622</v>
      </c>
      <c r="E410" s="31">
        <v>0.18056393767004694</v>
      </c>
      <c r="F410" s="31">
        <v>3.625955299206922E-3</v>
      </c>
      <c r="G410" s="31">
        <v>2.6027792436235696E-3</v>
      </c>
      <c r="H410" s="31">
        <v>4.6269932047440197E-2</v>
      </c>
      <c r="I410" s="31">
        <v>5.7954545454545498E-4</v>
      </c>
      <c r="J410" s="31">
        <v>2.940905660377358E-3</v>
      </c>
      <c r="K410" s="31">
        <v>8.4760563380281671E-3</v>
      </c>
      <c r="L410" s="31">
        <v>9.0494623655913986E-3</v>
      </c>
      <c r="M410" s="31">
        <v>5.8891304347826077E-3</v>
      </c>
      <c r="N410" s="31">
        <v>2.0639108910891091E-2</v>
      </c>
      <c r="O410" s="31">
        <v>8.7402604954064413E-3</v>
      </c>
      <c r="P410" s="31">
        <v>0</v>
      </c>
      <c r="Q410" s="32">
        <v>9.7479921051969889</v>
      </c>
      <c r="R410" s="32">
        <v>2.539950157530142</v>
      </c>
      <c r="S410" s="32">
        <v>44.813636774747565</v>
      </c>
      <c r="T410" s="32">
        <v>39.060285828225652</v>
      </c>
      <c r="U410" s="32">
        <v>2.6594305356726706</v>
      </c>
      <c r="V410" s="32">
        <v>2.4160375651278976</v>
      </c>
      <c r="W410" s="33">
        <v>0.5908888888888888</v>
      </c>
      <c r="X410" s="33">
        <v>-3.0700284999999994</v>
      </c>
    </row>
    <row r="411" spans="1:24" x14ac:dyDescent="0.15">
      <c r="A411" s="29" t="s">
        <v>373</v>
      </c>
      <c r="B411" s="30">
        <v>43.658221018418203</v>
      </c>
      <c r="C411" s="31">
        <v>7.4315118933647561E-2</v>
      </c>
      <c r="D411" s="31">
        <v>0.12771018455228983</v>
      </c>
      <c r="E411" s="31">
        <v>0.1483536977491961</v>
      </c>
      <c r="F411" s="31">
        <v>2.35829848594088E-3</v>
      </c>
      <c r="G411" s="31">
        <v>3.1577836411609485E-3</v>
      </c>
      <c r="H411" s="31">
        <v>4.2298961718651093E-2</v>
      </c>
      <c r="I411" s="31">
        <v>4.7727272727272766E-4</v>
      </c>
      <c r="J411" s="31">
        <v>3.0251320754716969E-3</v>
      </c>
      <c r="K411" s="31">
        <v>8.7541170097508135E-3</v>
      </c>
      <c r="L411" s="31">
        <v>9.4114408602150555E-3</v>
      </c>
      <c r="M411" s="31">
        <v>5.4684782608695652E-3</v>
      </c>
      <c r="N411" s="31">
        <v>2.1247277227722773E-2</v>
      </c>
      <c r="O411" s="31">
        <v>6.917374113268984E-3</v>
      </c>
      <c r="P411" s="31">
        <v>0</v>
      </c>
      <c r="Q411" s="32">
        <v>9.1117237321801223</v>
      </c>
      <c r="R411" s="32">
        <v>2.0570997960186612</v>
      </c>
      <c r="S411" s="32">
        <v>39.798180090673682</v>
      </c>
      <c r="T411" s="32">
        <v>43.102890965678071</v>
      </c>
      <c r="U411" s="32">
        <v>2.3748849751972574</v>
      </c>
      <c r="V411" s="32">
        <v>2.2751949655867403</v>
      </c>
      <c r="W411" s="33">
        <v>0.91588888888888897</v>
      </c>
      <c r="X411" s="33">
        <v>-2.8777489800000033</v>
      </c>
    </row>
    <row r="412" spans="1:24" x14ac:dyDescent="0.15">
      <c r="A412" s="29" t="s">
        <v>374</v>
      </c>
      <c r="B412" s="30">
        <v>43.750897074756232</v>
      </c>
      <c r="C412" s="31">
        <v>6.9411591427940206E-2</v>
      </c>
      <c r="D412" s="31">
        <v>0.17015721120984281</v>
      </c>
      <c r="E412" s="31">
        <v>0.19495671531041298</v>
      </c>
      <c r="F412" s="31">
        <v>5.3627974044700806E-3</v>
      </c>
      <c r="G412" s="31">
        <v>3.4448548812664897E-3</v>
      </c>
      <c r="H412" s="31">
        <v>4.6560207656269795E-2</v>
      </c>
      <c r="I412" s="31">
        <v>6.818181818181822E-4</v>
      </c>
      <c r="J412" s="31">
        <v>3.0110943396226401E-3</v>
      </c>
      <c r="K412" s="31">
        <v>8.7637053087757308E-3</v>
      </c>
      <c r="L412" s="31">
        <v>1.009015053763441E-2</v>
      </c>
      <c r="M412" s="31">
        <v>7.5148942420681557E-3</v>
      </c>
      <c r="N412" s="31">
        <v>1.87759900990099E-2</v>
      </c>
      <c r="O412" s="31">
        <v>8.4236539132457253E-3</v>
      </c>
      <c r="P412" s="31">
        <v>0</v>
      </c>
      <c r="Q412" s="32">
        <v>10.005426545646545</v>
      </c>
      <c r="R412" s="32">
        <v>2.831938058340008</v>
      </c>
      <c r="S412" s="32">
        <v>43.0148512597614</v>
      </c>
      <c r="T412" s="32">
        <v>25.300506853115326</v>
      </c>
      <c r="U412" s="32">
        <v>3.1512921563405141</v>
      </c>
      <c r="V412" s="32">
        <v>2.7176590835995622</v>
      </c>
      <c r="W412" s="33">
        <v>0.70677777777777762</v>
      </c>
      <c r="X412" s="33">
        <v>-2.9813255600000019</v>
      </c>
    </row>
    <row r="413" spans="1:24" x14ac:dyDescent="0.15">
      <c r="A413" s="29" t="s">
        <v>375</v>
      </c>
      <c r="B413" s="30">
        <v>43.84357313109426</v>
      </c>
      <c r="C413" s="31">
        <v>7.1240886663229988E-2</v>
      </c>
      <c r="D413" s="31">
        <v>0.1873820915926179</v>
      </c>
      <c r="E413" s="31">
        <v>0.20578827603264901</v>
      </c>
      <c r="F413" s="31">
        <v>4.8631578947368427E-3</v>
      </c>
      <c r="G413" s="31">
        <v>3.73192612137203E-3</v>
      </c>
      <c r="H413" s="31">
        <v>4.8267028236187927E-2</v>
      </c>
      <c r="I413" s="31">
        <v>6.818181818181822E-4</v>
      </c>
      <c r="J413" s="31">
        <v>3.0251320754716977E-3</v>
      </c>
      <c r="K413" s="31">
        <v>8.4760563380281706E-3</v>
      </c>
      <c r="L413" s="31">
        <v>1.0372946236559141E-2</v>
      </c>
      <c r="M413" s="31">
        <v>7.9355464159811991E-3</v>
      </c>
      <c r="N413" s="31">
        <v>1.8756683168316829E-2</v>
      </c>
      <c r="O413" s="31">
        <v>7.7040934992440987E-3</v>
      </c>
      <c r="P413" s="31">
        <v>0</v>
      </c>
      <c r="Q413" s="32">
        <v>10.058409322907499</v>
      </c>
      <c r="R413" s="32">
        <v>2.824407865062641</v>
      </c>
      <c r="S413" s="32">
        <v>42.494800211002037</v>
      </c>
      <c r="T413" s="32">
        <v>24.287542544798828</v>
      </c>
      <c r="U413" s="32">
        <v>3.1472873456070847</v>
      </c>
      <c r="V413" s="32">
        <v>2.8028243744505676</v>
      </c>
      <c r="W413" s="33">
        <v>0.66322222222222227</v>
      </c>
      <c r="X413" s="33">
        <v>-3.0179707600000008</v>
      </c>
    </row>
    <row r="414" spans="1:24" x14ac:dyDescent="0.15">
      <c r="A414" s="29" t="s">
        <v>376</v>
      </c>
      <c r="B414" s="30">
        <v>43.936249187432288</v>
      </c>
      <c r="C414" s="31">
        <v>6.955132925841373E-2</v>
      </c>
      <c r="D414" s="31">
        <v>0.17975393028024608</v>
      </c>
      <c r="E414" s="31">
        <v>0.20506010388325493</v>
      </c>
      <c r="F414" s="31">
        <v>3.8543619322278302E-3</v>
      </c>
      <c r="G414" s="31">
        <v>3.5724420990911744E-3</v>
      </c>
      <c r="H414" s="31">
        <v>4.6084155657789234E-2</v>
      </c>
      <c r="I414" s="31">
        <v>6.818181818181822E-4</v>
      </c>
      <c r="J414" s="31">
        <v>3.081283018867923E-3</v>
      </c>
      <c r="K414" s="31">
        <v>8.0637594799566632E-3</v>
      </c>
      <c r="L414" s="31">
        <v>1.0384258064516131E-2</v>
      </c>
      <c r="M414" s="31">
        <v>8.2652467685076381E-3</v>
      </c>
      <c r="N414" s="31">
        <v>1.8264356435643565E-2</v>
      </c>
      <c r="O414" s="31">
        <v>8.4620304686591451E-3</v>
      </c>
      <c r="P414" s="31">
        <v>0</v>
      </c>
      <c r="Q414" s="32">
        <v>10.413036130037964</v>
      </c>
      <c r="R414" s="32">
        <v>2.9548425203476429</v>
      </c>
      <c r="S414" s="32">
        <v>43.602848676700376</v>
      </c>
      <c r="T414" s="32">
        <v>23.612760362031743</v>
      </c>
      <c r="U414" s="32">
        <v>3.1110185770882586</v>
      </c>
      <c r="V414" s="32">
        <v>2.8752948390831703</v>
      </c>
      <c r="W414" s="33">
        <v>0.57588888888888901</v>
      </c>
      <c r="X414" s="33">
        <v>-2.9549194600000028</v>
      </c>
    </row>
    <row r="415" spans="1:24" x14ac:dyDescent="0.15">
      <c r="A415" s="29" t="s">
        <v>377</v>
      </c>
      <c r="B415" s="30">
        <v>44.028925243770317</v>
      </c>
      <c r="C415" s="31">
        <v>6.6896310479416743E-2</v>
      </c>
      <c r="D415" s="31">
        <v>0.14751879699248122</v>
      </c>
      <c r="E415" s="31">
        <v>0.22429977739302495</v>
      </c>
      <c r="F415" s="31">
        <v>4.9821196827685666E-3</v>
      </c>
      <c r="G415" s="31">
        <v>3.5788214599824088E-3</v>
      </c>
      <c r="H415" s="31">
        <v>4.4899831173764414E-2</v>
      </c>
      <c r="I415" s="31">
        <v>7.9545454545454602E-4</v>
      </c>
      <c r="J415" s="31">
        <v>3.0672452830188676E-3</v>
      </c>
      <c r="K415" s="31">
        <v>7.708992416034669E-3</v>
      </c>
      <c r="L415" s="31">
        <v>9.388817204301075E-3</v>
      </c>
      <c r="M415" s="31">
        <v>8.0037602820211516E-3</v>
      </c>
      <c r="N415" s="31">
        <v>1.7482425742574255E-2</v>
      </c>
      <c r="O415" s="31">
        <v>8.7306663565530889E-3</v>
      </c>
      <c r="P415" s="31">
        <v>0</v>
      </c>
      <c r="Q415" s="32">
        <v>11.193566841827369</v>
      </c>
      <c r="R415" s="32">
        <v>3.1011491201200996</v>
      </c>
      <c r="S415" s="32">
        <v>47.14383418119322</v>
      </c>
      <c r="T415" s="32">
        <v>25.53789720760475</v>
      </c>
      <c r="U415" s="32">
        <v>3.1612666045210909</v>
      </c>
      <c r="V415" s="32">
        <v>3.0069967194836935</v>
      </c>
      <c r="W415" s="33">
        <v>0.31044444444444452</v>
      </c>
      <c r="X415" s="33">
        <v>-3.1947299600000036</v>
      </c>
    </row>
    <row r="416" spans="1:24" x14ac:dyDescent="0.15">
      <c r="A416" s="29" t="s">
        <v>378</v>
      </c>
      <c r="B416" s="30">
        <v>44.121601300108345</v>
      </c>
      <c r="C416" s="31">
        <v>6.5486346863468631E-2</v>
      </c>
      <c r="D416" s="31">
        <v>0.13925726768610319</v>
      </c>
      <c r="E416" s="31">
        <v>0.22363497837200155</v>
      </c>
      <c r="F416" s="31">
        <v>3.8710944808231992E-3</v>
      </c>
      <c r="G416" s="31">
        <v>2.774171907756813E-3</v>
      </c>
      <c r="H416" s="31">
        <v>4.5083085222045662E-2</v>
      </c>
      <c r="I416" s="31">
        <v>7.8163771712158841E-4</v>
      </c>
      <c r="J416" s="31">
        <v>2.9928571428571435E-3</v>
      </c>
      <c r="K416" s="31">
        <v>7.7194467046379145E-3</v>
      </c>
      <c r="L416" s="31">
        <v>9.9266069622995813E-3</v>
      </c>
      <c r="M416" s="31">
        <v>8.3598404255319139E-3</v>
      </c>
      <c r="N416" s="31">
        <v>1.7922361809045224E-2</v>
      </c>
      <c r="O416" s="31">
        <v>8.644841042120965E-3</v>
      </c>
      <c r="P416" s="31">
        <v>0</v>
      </c>
      <c r="Q416" s="32">
        <v>11.407238516028384</v>
      </c>
      <c r="R416" s="32">
        <v>3.0888809673416762</v>
      </c>
      <c r="S416" s="32">
        <v>48.702173599010564</v>
      </c>
      <c r="T416" s="32">
        <v>25.751274404244562</v>
      </c>
      <c r="U416" s="32">
        <v>3.292604283821948</v>
      </c>
      <c r="V416" s="32">
        <v>3.0417444009745744</v>
      </c>
      <c r="W416" s="33">
        <v>0.30044444444444446</v>
      </c>
      <c r="X416" s="33">
        <v>-3.2673120914285754</v>
      </c>
    </row>
    <row r="417" spans="1:24" x14ac:dyDescent="0.15">
      <c r="A417" s="29" t="s">
        <v>379</v>
      </c>
      <c r="B417" s="30">
        <v>44.214277356446374</v>
      </c>
      <c r="C417" s="31">
        <v>6.6835793357933576E-2</v>
      </c>
      <c r="D417" s="31">
        <v>0.13223995967064359</v>
      </c>
      <c r="E417" s="31">
        <v>0.21852487219819114</v>
      </c>
      <c r="F417" s="31">
        <v>5.4840505144995323E-3</v>
      </c>
      <c r="G417" s="31">
        <v>3.8918238993710685E-3</v>
      </c>
      <c r="H417" s="31">
        <v>4.6509546709040735E-2</v>
      </c>
      <c r="I417" s="31">
        <v>7.8163771712158841E-4</v>
      </c>
      <c r="J417" s="31">
        <v>3.0000000000000001E-3</v>
      </c>
      <c r="K417" s="31">
        <v>7.9690805532953591E-3</v>
      </c>
      <c r="L417" s="31">
        <v>1.0029178101978908E-2</v>
      </c>
      <c r="M417" s="31">
        <v>8.1196808510638294E-3</v>
      </c>
      <c r="N417" s="31">
        <v>1.8412311557788948E-2</v>
      </c>
      <c r="O417" s="31">
        <v>9.2224262596120703E-3</v>
      </c>
      <c r="P417" s="31">
        <v>0</v>
      </c>
      <c r="Q417" s="32">
        <v>11.1355864075315</v>
      </c>
      <c r="R417" s="32">
        <v>3.1015136969510371</v>
      </c>
      <c r="S417" s="32">
        <v>47.990391303082909</v>
      </c>
      <c r="T417" s="32">
        <v>26.185853386433514</v>
      </c>
      <c r="U417" s="32">
        <v>3.3557109294943892</v>
      </c>
      <c r="V417" s="32">
        <v>3.0193531093485269</v>
      </c>
      <c r="W417" s="33">
        <v>0.36699999999999999</v>
      </c>
      <c r="X417" s="33">
        <v>-3.2750260599999983</v>
      </c>
    </row>
    <row r="418" spans="1:24" x14ac:dyDescent="0.15">
      <c r="A418" s="29" t="s">
        <v>380</v>
      </c>
      <c r="B418" s="30">
        <v>44.306953412784402</v>
      </c>
      <c r="C418" s="31">
        <v>6.7064944649446484E-2</v>
      </c>
      <c r="D418" s="31">
        <v>0.20943034784069905</v>
      </c>
      <c r="E418" s="31">
        <v>0.22637092017302399</v>
      </c>
      <c r="F418" s="31">
        <v>4.8315916076439929E-3</v>
      </c>
      <c r="G418" s="31">
        <v>4.7899371069182383E-3</v>
      </c>
      <c r="H418" s="31">
        <v>4.6003382955590859E-2</v>
      </c>
      <c r="I418" s="31">
        <v>7.8163771712158841E-4</v>
      </c>
      <c r="J418" s="31">
        <v>3.0785714285714279E-3</v>
      </c>
      <c r="K418" s="31">
        <v>8.3339300244100883E-3</v>
      </c>
      <c r="L418" s="31">
        <v>1.0074765275169721E-2</v>
      </c>
      <c r="M418" s="31">
        <v>7.9481382978723401E-3</v>
      </c>
      <c r="N418" s="31">
        <v>1.7305025125628141E-2</v>
      </c>
      <c r="O418" s="31">
        <v>9.4117984620681709E-3</v>
      </c>
      <c r="P418" s="31">
        <v>0</v>
      </c>
      <c r="Q418" s="32">
        <v>10.85012558602838</v>
      </c>
      <c r="R418" s="32">
        <v>3.029116912498651</v>
      </c>
      <c r="S418" s="32">
        <v>47.005424841370541</v>
      </c>
      <c r="T418" s="32">
        <v>23.173936461400757</v>
      </c>
      <c r="U418" s="32">
        <v>3.3230506610682062</v>
      </c>
      <c r="V418" s="32">
        <v>2.916113617646261</v>
      </c>
      <c r="W418" s="33">
        <v>0.14099999999999999</v>
      </c>
      <c r="X418" s="33">
        <v>-3.3198625400000026</v>
      </c>
    </row>
    <row r="419" spans="1:24" x14ac:dyDescent="0.15">
      <c r="A419" s="29" t="s">
        <v>381</v>
      </c>
      <c r="B419" s="30">
        <v>44.399629469122431</v>
      </c>
      <c r="C419" s="31">
        <v>6.8872693726937259E-2</v>
      </c>
      <c r="D419" s="31">
        <v>0.19624264829440433</v>
      </c>
      <c r="E419" s="31">
        <v>0.22175825796303578</v>
      </c>
      <c r="F419" s="31">
        <v>4.3125350795135643E-3</v>
      </c>
      <c r="G419" s="31">
        <v>4.1512788259958069E-3</v>
      </c>
      <c r="H419" s="31">
        <v>4.7211273730868954E-2</v>
      </c>
      <c r="I419" s="31">
        <v>6.6997518610421858E-4</v>
      </c>
      <c r="J419" s="31">
        <v>3.1357142857142855E-3</v>
      </c>
      <c r="K419" s="31">
        <v>8.8908055329536186E-3</v>
      </c>
      <c r="L419" s="31">
        <v>9.9380037555972835E-3</v>
      </c>
      <c r="M419" s="31">
        <v>7.3534574468085102E-3</v>
      </c>
      <c r="N419" s="31">
        <v>1.8490703517587938E-2</v>
      </c>
      <c r="O419" s="31">
        <v>1.0936244691839778E-2</v>
      </c>
      <c r="P419" s="31">
        <v>0</v>
      </c>
      <c r="Q419" s="32">
        <v>10.164555286351966</v>
      </c>
      <c r="R419" s="32">
        <v>2.7227434564961479</v>
      </c>
      <c r="S419" s="32">
        <v>45.313534441881941</v>
      </c>
      <c r="T419" s="32">
        <v>24.775037425246804</v>
      </c>
      <c r="U419" s="32">
        <v>3.2260048486666166</v>
      </c>
      <c r="V419" s="32">
        <v>2.6984778044369708</v>
      </c>
      <c r="W419" s="33">
        <v>0.12222222222222223</v>
      </c>
      <c r="X419" s="33">
        <v>-3.489400480000004</v>
      </c>
    </row>
    <row r="420" spans="1:24" x14ac:dyDescent="0.15">
      <c r="A420" s="29" t="s">
        <v>382</v>
      </c>
      <c r="B420" s="30">
        <v>44.492305525460459</v>
      </c>
      <c r="C420" s="31">
        <v>6.9063653136531358E-2</v>
      </c>
      <c r="D420" s="31">
        <v>0.15462275247857504</v>
      </c>
      <c r="E420" s="31">
        <v>0.19867233582383015</v>
      </c>
      <c r="F420" s="31">
        <v>4.6715087531738605E-3</v>
      </c>
      <c r="G420" s="31">
        <v>4.2660377358490565E-3</v>
      </c>
      <c r="H420" s="31">
        <v>4.5451204315463734E-2</v>
      </c>
      <c r="I420" s="31">
        <v>6.6997518610421858E-4</v>
      </c>
      <c r="J420" s="31">
        <v>3.0999999999999999E-3</v>
      </c>
      <c r="K420" s="31">
        <v>8.7563873067534551E-3</v>
      </c>
      <c r="L420" s="31">
        <v>1.0234320381337567E-2</v>
      </c>
      <c r="M420" s="31">
        <v>7.2619680851063809E-3</v>
      </c>
      <c r="N420" s="31">
        <v>1.8108542713567839E-2</v>
      </c>
      <c r="O420" s="31">
        <v>7.925226672787786E-3</v>
      </c>
      <c r="P420" s="31">
        <v>0</v>
      </c>
      <c r="Q420" s="32">
        <v>10.491492717316058</v>
      </c>
      <c r="R420" s="32">
        <v>2.7016844978175079</v>
      </c>
      <c r="S420" s="32">
        <v>45.548945967264174</v>
      </c>
      <c r="T420" s="32">
        <v>28.486284198373269</v>
      </c>
      <c r="U420" s="32">
        <v>3.0388450676064078</v>
      </c>
      <c r="V420" s="32">
        <v>2.7950963941576878</v>
      </c>
      <c r="W420" s="33">
        <v>0.25977777777777777</v>
      </c>
      <c r="X420" s="33">
        <v>-3.195915540000005</v>
      </c>
    </row>
    <row r="421" spans="1:24" x14ac:dyDescent="0.15">
      <c r="A421" s="29" t="s">
        <v>383</v>
      </c>
      <c r="B421" s="30">
        <v>44.584981581798488</v>
      </c>
      <c r="C421" s="31">
        <v>5.3579999999999996E-2</v>
      </c>
      <c r="D421" s="31">
        <v>1.4779999999999998E-2</v>
      </c>
      <c r="E421" s="31">
        <v>0.18344999999999997</v>
      </c>
      <c r="F421" s="31">
        <v>4.3750000000000004E-3</v>
      </c>
      <c r="G421" s="31">
        <v>3.3E-3</v>
      </c>
      <c r="H421" s="31">
        <v>4.0409999999999995E-2</v>
      </c>
      <c r="I421" s="31">
        <v>5.9999999999999995E-4</v>
      </c>
      <c r="J421" s="31">
        <v>4.2700000000000004E-3</v>
      </c>
      <c r="K421" s="31">
        <v>8.490000000000001E-3</v>
      </c>
      <c r="L421" s="31">
        <v>8.5100000000000002E-3</v>
      </c>
      <c r="M421" s="31">
        <v>6.8700000000000011E-3</v>
      </c>
      <c r="N421" s="31">
        <v>1.746E-2</v>
      </c>
      <c r="O421" s="31">
        <v>8.5800000000000008E-3</v>
      </c>
      <c r="P421" s="31">
        <v>0</v>
      </c>
      <c r="Q421" s="32">
        <v>10.09409</v>
      </c>
      <c r="R421" s="32">
        <v>2.1447699999999994</v>
      </c>
      <c r="S421" s="32">
        <v>39.712049999999998</v>
      </c>
      <c r="T421" s="32">
        <v>23.571029999999997</v>
      </c>
      <c r="U421" s="32">
        <v>2.9696800000000003</v>
      </c>
      <c r="V421" s="32">
        <v>2.4461799999999996</v>
      </c>
      <c r="W421" s="33">
        <v>0.25044444444444447</v>
      </c>
      <c r="X421" s="33">
        <v>-3.2993227514285692</v>
      </c>
    </row>
    <row r="422" spans="1:24" x14ac:dyDescent="0.15">
      <c r="A422" s="29" t="s">
        <v>384</v>
      </c>
      <c r="B422" s="30">
        <v>44.677657638136516</v>
      </c>
      <c r="C422" s="31">
        <v>7.1838929889298894E-2</v>
      </c>
      <c r="D422" s="31">
        <v>0.14917828936313227</v>
      </c>
      <c r="E422" s="31">
        <v>0.18718590247738889</v>
      </c>
      <c r="F422" s="31">
        <v>4.3125350795135643E-3</v>
      </c>
      <c r="G422" s="31">
        <v>2.0955974842767292E-3</v>
      </c>
      <c r="H422" s="31">
        <v>4.4703462406958258E-2</v>
      </c>
      <c r="I422" s="31">
        <v>5.6947890818858586E-4</v>
      </c>
      <c r="J422" s="31">
        <v>2.9285714285714284E-3</v>
      </c>
      <c r="K422" s="31">
        <v>8.1995117982099248E-3</v>
      </c>
      <c r="L422" s="31">
        <v>9.1972121912465704E-3</v>
      </c>
      <c r="M422" s="31">
        <v>6.8960106382978713E-3</v>
      </c>
      <c r="N422" s="31">
        <v>1.7549999999999996E-2</v>
      </c>
      <c r="O422" s="31">
        <v>7.5938253184896108E-3</v>
      </c>
      <c r="P422" s="31">
        <v>0</v>
      </c>
      <c r="Q422" s="32">
        <v>9.9525491465347784</v>
      </c>
      <c r="R422" s="32">
        <v>2.4397438572682413</v>
      </c>
      <c r="S422" s="32">
        <v>44.646713843351129</v>
      </c>
      <c r="T422" s="32">
        <v>31.457417203938409</v>
      </c>
      <c r="U422" s="32">
        <v>3.0417145285046612</v>
      </c>
      <c r="V422" s="32">
        <v>2.5302824954718219</v>
      </c>
      <c r="W422" s="33">
        <v>0.19228571428571425</v>
      </c>
      <c r="X422" s="33">
        <v>-3.2928097600000008</v>
      </c>
    </row>
    <row r="423" spans="1:24" x14ac:dyDescent="0.15">
      <c r="A423" s="29" t="s">
        <v>385</v>
      </c>
      <c r="B423" s="30">
        <v>44.770333694474544</v>
      </c>
      <c r="C423" s="31">
        <v>7.2659545850146376E-2</v>
      </c>
      <c r="D423" s="31">
        <v>0.18653855878634643</v>
      </c>
      <c r="E423" s="31">
        <v>0.196530663241065</v>
      </c>
      <c r="F423" s="31">
        <v>4.491507798960139E-3</v>
      </c>
      <c r="G423" s="31">
        <v>3.9380203908241295E-3</v>
      </c>
      <c r="H423" s="31">
        <v>4.8275291883337096E-2</v>
      </c>
      <c r="I423" s="31">
        <v>6.8686327077748031E-4</v>
      </c>
      <c r="J423" s="31">
        <v>3.0447424366312347E-3</v>
      </c>
      <c r="K423" s="31">
        <v>8.2767837445573283E-3</v>
      </c>
      <c r="L423" s="31">
        <v>1.0227465240641711E-2</v>
      </c>
      <c r="M423" s="31">
        <v>7.5592045454545478E-3</v>
      </c>
      <c r="N423" s="31">
        <v>1.7146785555060183E-2</v>
      </c>
      <c r="O423" s="31">
        <v>7.6426316454097721E-3</v>
      </c>
      <c r="P423" s="31">
        <v>0</v>
      </c>
      <c r="Q423" s="32">
        <v>10.062471242883003</v>
      </c>
      <c r="R423" s="32">
        <v>2.8490995863093609</v>
      </c>
      <c r="S423" s="32">
        <v>42.361363760321296</v>
      </c>
      <c r="T423" s="32">
        <v>27.258877178178139</v>
      </c>
      <c r="U423" s="32">
        <v>3.2665850041451354</v>
      </c>
      <c r="V423" s="32">
        <v>2.6490650740188584</v>
      </c>
      <c r="W423" s="33">
        <v>0.37811111111111118</v>
      </c>
      <c r="X423" s="33">
        <v>-3.1243496200000003</v>
      </c>
    </row>
    <row r="424" spans="1:24" x14ac:dyDescent="0.15">
      <c r="A424" s="29" t="s">
        <v>386</v>
      </c>
      <c r="B424" s="30">
        <v>44.863009750812573</v>
      </c>
      <c r="C424" s="31">
        <v>7.4990663818340048E-2</v>
      </c>
      <c r="D424" s="31">
        <v>0.1655423514538559</v>
      </c>
      <c r="E424" s="31">
        <v>0.17439801502806765</v>
      </c>
      <c r="F424" s="31">
        <v>3.629428076256499E-3</v>
      </c>
      <c r="G424" s="31">
        <v>3.04221386090545E-3</v>
      </c>
      <c r="H424" s="31">
        <v>4.705621885598011E-2</v>
      </c>
      <c r="I424" s="31">
        <v>5.7426273458445075E-4</v>
      </c>
      <c r="J424" s="31">
        <v>3.0447424366312342E-3</v>
      </c>
      <c r="K424" s="31">
        <v>9.1015849056603759E-3</v>
      </c>
      <c r="L424" s="31">
        <v>9.6874010695187172E-3</v>
      </c>
      <c r="M424" s="31">
        <v>6.5558712121212151E-3</v>
      </c>
      <c r="N424" s="31">
        <v>1.7935479268836377E-2</v>
      </c>
      <c r="O424" s="31">
        <v>6.8161384013132962E-3</v>
      </c>
      <c r="P424" s="31">
        <v>0</v>
      </c>
      <c r="Q424" s="32">
        <v>9.4964033123465335</v>
      </c>
      <c r="R424" s="32">
        <v>2.5345187883377096</v>
      </c>
      <c r="S424" s="32">
        <v>41.403374196982988</v>
      </c>
      <c r="T424" s="32">
        <v>37.710952599280866</v>
      </c>
      <c r="U424" s="32">
        <v>3.0011957745624507</v>
      </c>
      <c r="V424" s="32">
        <v>2.3542449953680693</v>
      </c>
      <c r="W424" s="33">
        <v>0.49466666666666664</v>
      </c>
      <c r="X424" s="33">
        <v>-3.0054682799999988</v>
      </c>
    </row>
    <row r="425" spans="1:24" x14ac:dyDescent="0.15">
      <c r="A425" s="29" t="s">
        <v>387</v>
      </c>
      <c r="B425" s="30">
        <v>44.955685807150594</v>
      </c>
      <c r="C425" s="31">
        <v>7.1449402642614124E-2</v>
      </c>
      <c r="D425" s="31">
        <v>0.17270290771175731</v>
      </c>
      <c r="E425" s="31">
        <v>0.18068763087968745</v>
      </c>
      <c r="F425" s="31">
        <v>4.1655112651646439E-3</v>
      </c>
      <c r="G425" s="31">
        <v>4.2653720111664037E-3</v>
      </c>
      <c r="H425" s="31">
        <v>4.7741221795161666E-2</v>
      </c>
      <c r="I425" s="31">
        <v>6.6434316353887425E-4</v>
      </c>
      <c r="J425" s="31">
        <v>3.0092559280457888E-3</v>
      </c>
      <c r="K425" s="31">
        <v>8.8138635703918725E-3</v>
      </c>
      <c r="L425" s="31">
        <v>9.9349304812834209E-3</v>
      </c>
      <c r="M425" s="31">
        <v>6.6470833333333356E-3</v>
      </c>
      <c r="N425" s="31">
        <v>1.7701792242532322E-2</v>
      </c>
      <c r="O425" s="31">
        <v>7.5259502462432125E-3</v>
      </c>
      <c r="P425" s="31">
        <v>0</v>
      </c>
      <c r="Q425" s="32">
        <v>9.1909322819313619</v>
      </c>
      <c r="R425" s="32">
        <v>2.5616583656393632</v>
      </c>
      <c r="S425" s="32">
        <v>40.919028738395603</v>
      </c>
      <c r="T425" s="32">
        <v>30.971285824789394</v>
      </c>
      <c r="U425" s="32">
        <v>3.3538412601209178</v>
      </c>
      <c r="V425" s="32">
        <v>2.2580108098822693</v>
      </c>
      <c r="W425" s="33">
        <v>0.3274285714285714</v>
      </c>
      <c r="X425" s="33">
        <v>-2.9199987399999969</v>
      </c>
    </row>
    <row r="426" spans="1:24" x14ac:dyDescent="0.15">
      <c r="A426" s="29" t="s">
        <v>388</v>
      </c>
      <c r="B426" s="30">
        <v>45.048361863488623</v>
      </c>
      <c r="C426" s="31">
        <v>6.732217738745154E-2</v>
      </c>
      <c r="D426" s="31">
        <v>0.15425537294563843</v>
      </c>
      <c r="E426" s="31">
        <v>0.21334830274341426</v>
      </c>
      <c r="F426" s="31">
        <v>3.368630849220104E-3</v>
      </c>
      <c r="G426" s="31">
        <v>4.4221871586357566E-3</v>
      </c>
      <c r="H426" s="31">
        <v>4.7810883111010637E-2</v>
      </c>
      <c r="I426" s="31">
        <v>7.8820375335120695E-4</v>
      </c>
      <c r="J426" s="31">
        <v>3.1299100572363039E-3</v>
      </c>
      <c r="K426" s="31">
        <v>8.9193613933236555E-3</v>
      </c>
      <c r="L426" s="31">
        <v>9.6536470588235307E-3</v>
      </c>
      <c r="M426" s="31">
        <v>7.7074242424242448E-3</v>
      </c>
      <c r="N426" s="31">
        <v>1.6328880962995986E-2</v>
      </c>
      <c r="O426" s="31">
        <v>9.0622553352696037E-3</v>
      </c>
      <c r="P426" s="31">
        <v>0</v>
      </c>
      <c r="Q426" s="32">
        <v>10.271372579816635</v>
      </c>
      <c r="R426" s="32">
        <v>2.9851681597271122</v>
      </c>
      <c r="S426" s="32">
        <v>45.148989996474164</v>
      </c>
      <c r="T426" s="32">
        <v>24.11742561260894</v>
      </c>
      <c r="U426" s="32">
        <v>4.3131696963219524</v>
      </c>
      <c r="V426" s="32">
        <v>2.6454835428438206</v>
      </c>
      <c r="W426" s="33">
        <v>0.32411111111111107</v>
      </c>
      <c r="X426" s="33">
        <v>-2.7249169400000035</v>
      </c>
    </row>
    <row r="427" spans="1:24" x14ac:dyDescent="0.15">
      <c r="A427" s="29" t="s">
        <v>389</v>
      </c>
      <c r="B427" s="30">
        <v>45.141037919826651</v>
      </c>
      <c r="C427" s="31">
        <v>7.2277395363557234E-2</v>
      </c>
      <c r="D427" s="31">
        <v>0.16299367888748423</v>
      </c>
      <c r="E427" s="31">
        <v>0.20095039329895997</v>
      </c>
      <c r="F427" s="31">
        <v>4.197205372616984E-3</v>
      </c>
      <c r="G427" s="31">
        <v>3.402888700084962E-3</v>
      </c>
      <c r="H427" s="31">
        <v>4.9146058331449249E-2</v>
      </c>
      <c r="I427" s="31">
        <v>6.7560321715817728E-4</v>
      </c>
      <c r="J427" s="31">
        <v>3.1015208503679479E-3</v>
      </c>
      <c r="K427" s="31">
        <v>9.024859216255442E-3</v>
      </c>
      <c r="L427" s="31">
        <v>9.9686844919786109E-3</v>
      </c>
      <c r="M427" s="31">
        <v>6.7496969696969715E-3</v>
      </c>
      <c r="N427" s="31">
        <v>1.8032848863129735E-2</v>
      </c>
      <c r="O427" s="31">
        <v>9.2178305341583527E-3</v>
      </c>
      <c r="P427" s="31">
        <v>0</v>
      </c>
      <c r="Q427" s="32">
        <v>9.4477047396462286</v>
      </c>
      <c r="R427" s="32">
        <v>2.660605292835732</v>
      </c>
      <c r="S427" s="32">
        <v>42.640909329926437</v>
      </c>
      <c r="T427" s="32">
        <v>26.037256037016718</v>
      </c>
      <c r="U427" s="32">
        <v>4.0613128551167144</v>
      </c>
      <c r="V427" s="32">
        <v>2.3883029098338024</v>
      </c>
      <c r="W427" s="33">
        <v>0.34488888888888891</v>
      </c>
      <c r="X427" s="33">
        <v>-2.876563400000002</v>
      </c>
    </row>
    <row r="428" spans="1:24" x14ac:dyDescent="0.15">
      <c r="A428" s="29" t="s">
        <v>390</v>
      </c>
      <c r="B428" s="30">
        <v>45.23371397616468</v>
      </c>
      <c r="C428" s="31">
        <v>6.7449560882981263E-2</v>
      </c>
      <c r="D428" s="31">
        <v>0.15425537294563843</v>
      </c>
      <c r="E428" s="31">
        <v>0.22031787706547942</v>
      </c>
      <c r="F428" s="31">
        <v>4.2651213171577126E-3</v>
      </c>
      <c r="G428" s="31">
        <v>4.3176437269895219E-3</v>
      </c>
      <c r="H428" s="31">
        <v>5.2292427763961133E-2</v>
      </c>
      <c r="I428" s="31">
        <v>7.8820375335120695E-4</v>
      </c>
      <c r="J428" s="31">
        <v>3.2363695829926405E-3</v>
      </c>
      <c r="K428" s="31">
        <v>8.8905892597968064E-3</v>
      </c>
      <c r="L428" s="31">
        <v>1.0711272727272727E-2</v>
      </c>
      <c r="M428" s="31">
        <v>7.6048106060606089E-3</v>
      </c>
      <c r="N428" s="31">
        <v>1.4858600089166295E-2</v>
      </c>
      <c r="O428" s="31">
        <v>7.5551205960348537E-3</v>
      </c>
      <c r="P428" s="31">
        <v>0</v>
      </c>
      <c r="Q428" s="32">
        <v>9.5473622415086865</v>
      </c>
      <c r="R428" s="32">
        <v>3.0274529450449084</v>
      </c>
      <c r="S428" s="32">
        <v>42.609132860881495</v>
      </c>
      <c r="T428" s="32">
        <v>21.806539770942624</v>
      </c>
      <c r="U428" s="32">
        <v>5.1019399576531912</v>
      </c>
      <c r="V428" s="32">
        <v>2.5373368732323502</v>
      </c>
      <c r="W428" s="33">
        <v>0.63755555555555565</v>
      </c>
      <c r="X428" s="33">
        <v>-2.3235442199999987</v>
      </c>
    </row>
    <row r="429" spans="1:24" x14ac:dyDescent="0.15">
      <c r="A429" s="29" t="s">
        <v>391</v>
      </c>
      <c r="B429" s="30">
        <v>45.326390032502708</v>
      </c>
      <c r="C429" s="31">
        <v>6.873613418783131E-2</v>
      </c>
      <c r="D429" s="31">
        <v>0.15243489254108722</v>
      </c>
      <c r="E429" s="31">
        <v>0.21287233181410239</v>
      </c>
      <c r="F429" s="31">
        <v>4.7088388214904684E-3</v>
      </c>
      <c r="G429" s="31">
        <v>3.8282497875955818E-3</v>
      </c>
      <c r="H429" s="31">
        <v>4.9587246665159394E-2</v>
      </c>
      <c r="I429" s="31">
        <v>7.8820375335120695E-4</v>
      </c>
      <c r="J429" s="31">
        <v>3.2079803761242845E-3</v>
      </c>
      <c r="K429" s="31">
        <v>8.7946821480406386E-3</v>
      </c>
      <c r="L429" s="31">
        <v>1.040748663101604E-2</v>
      </c>
      <c r="M429" s="31">
        <v>7.5934090909090951E-3</v>
      </c>
      <c r="N429" s="31">
        <v>1.5257815425769055E-2</v>
      </c>
      <c r="O429" s="31">
        <v>8.177421391589848E-3</v>
      </c>
      <c r="P429" s="31">
        <v>0</v>
      </c>
      <c r="Q429" s="32">
        <v>9.842934121526218</v>
      </c>
      <c r="R429" s="32">
        <v>3.0978702190290512</v>
      </c>
      <c r="S429" s="32">
        <v>44.158787174138382</v>
      </c>
      <c r="T429" s="32">
        <v>23.109950016173723</v>
      </c>
      <c r="U429" s="32">
        <v>4.9707999503161577</v>
      </c>
      <c r="V429" s="32">
        <v>2.5433097994466221</v>
      </c>
      <c r="W429" s="33">
        <v>0.40988888888888891</v>
      </c>
      <c r="X429" s="33">
        <v>-2.4994411800000051</v>
      </c>
    </row>
    <row r="430" spans="1:24" x14ac:dyDescent="0.15">
      <c r="A430" s="29" t="s">
        <v>392</v>
      </c>
      <c r="B430" s="30">
        <v>45.419066088840736</v>
      </c>
      <c r="C430" s="31">
        <v>6.9164824586423285E-2</v>
      </c>
      <c r="D430" s="31">
        <v>0.13453924914675766</v>
      </c>
      <c r="E430" s="31">
        <v>0.19580499488535719</v>
      </c>
      <c r="F430" s="31">
        <v>3.4780711825487943E-3</v>
      </c>
      <c r="G430" s="31">
        <v>3.2783300198807159E-3</v>
      </c>
      <c r="H430" s="31">
        <v>4.6591133216138565E-2</v>
      </c>
      <c r="I430" s="31">
        <v>6.3920454545454578E-4</v>
      </c>
      <c r="J430" s="31">
        <v>2.8728851963746214E-3</v>
      </c>
      <c r="K430" s="31">
        <v>8.5180327868852462E-3</v>
      </c>
      <c r="L430" s="31">
        <v>9.3317697841726627E-3</v>
      </c>
      <c r="M430" s="31">
        <v>6.895763221153847E-3</v>
      </c>
      <c r="N430" s="31">
        <v>1.8290322580645158E-2</v>
      </c>
      <c r="O430" s="31">
        <v>7.4137311286844006E-3</v>
      </c>
      <c r="P430" s="31">
        <v>0</v>
      </c>
      <c r="Q430" s="32">
        <v>10.053241215432971</v>
      </c>
      <c r="R430" s="32">
        <v>2.7408095206861489</v>
      </c>
      <c r="S430" s="32">
        <v>44.907511268597709</v>
      </c>
      <c r="T430" s="32">
        <v>33.417234307022987</v>
      </c>
      <c r="U430" s="32">
        <v>3.5972634701574959</v>
      </c>
      <c r="V430" s="32">
        <v>2.4431320972661088</v>
      </c>
      <c r="W430" s="33">
        <v>0.50655555555555554</v>
      </c>
      <c r="X430" s="33">
        <v>-2.7862437600000014</v>
      </c>
    </row>
    <row r="431" spans="1:24" x14ac:dyDescent="0.15">
      <c r="A431" s="29" t="s">
        <v>393</v>
      </c>
      <c r="B431" s="30">
        <v>45.511742145178765</v>
      </c>
      <c r="C431" s="31">
        <v>7.0542462920707358E-2</v>
      </c>
      <c r="D431" s="31">
        <v>0.15468941979522183</v>
      </c>
      <c r="E431" s="31">
        <v>0.19911030163918067</v>
      </c>
      <c r="F431" s="31">
        <v>4.3475889781859935E-3</v>
      </c>
      <c r="G431" s="31">
        <v>4.2697150430748851E-3</v>
      </c>
      <c r="H431" s="31">
        <v>4.8336826308793893E-2</v>
      </c>
      <c r="I431" s="31">
        <v>6.3920454545454578E-4</v>
      </c>
      <c r="J431" s="31">
        <v>2.9361027190332326E-3</v>
      </c>
      <c r="K431" s="31">
        <v>8.8229508196721318E-3</v>
      </c>
      <c r="L431" s="31">
        <v>9.8085755395683465E-3</v>
      </c>
      <c r="M431" s="31">
        <v>6.7445913461538455E-3</v>
      </c>
      <c r="N431" s="31">
        <v>1.7806451612903226E-2</v>
      </c>
      <c r="O431" s="31">
        <v>7.2753414809489589E-3</v>
      </c>
      <c r="P431" s="31">
        <v>0</v>
      </c>
      <c r="Q431" s="32">
        <v>9.6159625220203662</v>
      </c>
      <c r="R431" s="32">
        <v>2.7760535877338177</v>
      </c>
      <c r="S431" s="32">
        <v>43.634624012030258</v>
      </c>
      <c r="T431" s="32">
        <v>31.899048580899112</v>
      </c>
      <c r="U431" s="32">
        <v>3.6105832618037752</v>
      </c>
      <c r="V431" s="32">
        <v>2.3885051103934729</v>
      </c>
      <c r="W431" s="33">
        <v>0.55444444444444452</v>
      </c>
      <c r="X431" s="33">
        <v>-2.8376548199999974</v>
      </c>
    </row>
    <row r="432" spans="1:24" x14ac:dyDescent="0.15">
      <c r="A432" s="29" t="s">
        <v>394</v>
      </c>
      <c r="B432" s="30">
        <v>45.604418201516793</v>
      </c>
      <c r="C432" s="31">
        <v>7.0849971477467202E-2</v>
      </c>
      <c r="D432" s="31">
        <v>0.15702389078498294</v>
      </c>
      <c r="E432" s="31">
        <v>0.17055612384920532</v>
      </c>
      <c r="F432" s="31">
        <v>4.3717422502870269E-3</v>
      </c>
      <c r="G432" s="31">
        <v>2.6361829025844932E-3</v>
      </c>
      <c r="H432" s="31">
        <v>4.6520361874544433E-2</v>
      </c>
      <c r="I432" s="31">
        <v>6.3920454545454578E-4</v>
      </c>
      <c r="J432" s="31">
        <v>2.9782477341389712E-3</v>
      </c>
      <c r="K432" s="31">
        <v>8.6065573770491809E-3</v>
      </c>
      <c r="L432" s="31">
        <v>9.2523021582733827E-3</v>
      </c>
      <c r="M432" s="31">
        <v>6.2910757211538451E-3</v>
      </c>
      <c r="N432" s="31">
        <v>1.8164516129032263E-2</v>
      </c>
      <c r="O432" s="31">
        <v>6.1781092739036673E-3</v>
      </c>
      <c r="P432" s="31">
        <v>0</v>
      </c>
      <c r="Q432" s="32">
        <v>9.430693424771734</v>
      </c>
      <c r="R432" s="32">
        <v>2.5208990953639341</v>
      </c>
      <c r="S432" s="32">
        <v>41.804955180084342</v>
      </c>
      <c r="T432" s="32">
        <v>35.666756525792415</v>
      </c>
      <c r="U432" s="32">
        <v>3.2590424731799104</v>
      </c>
      <c r="V432" s="32">
        <v>2.2740774874899943</v>
      </c>
      <c r="W432" s="33">
        <v>0.49242857142857149</v>
      </c>
      <c r="X432" s="33">
        <v>-2.9095440799999999</v>
      </c>
    </row>
    <row r="433" spans="1:24" x14ac:dyDescent="0.15">
      <c r="A433" s="29" t="s">
        <v>395</v>
      </c>
      <c r="B433" s="30">
        <v>45.697094257854822</v>
      </c>
      <c r="C433" s="31">
        <v>7.1600292355961229E-2</v>
      </c>
      <c r="D433" s="31">
        <v>0.16279863481228671</v>
      </c>
      <c r="E433" s="31">
        <v>0.17546817694169309</v>
      </c>
      <c r="F433" s="31">
        <v>3.8065556831228487E-3</v>
      </c>
      <c r="G433" s="31">
        <v>3.0304837640821739E-3</v>
      </c>
      <c r="H433" s="31">
        <v>4.8136307507610505E-2</v>
      </c>
      <c r="I433" s="31">
        <v>6.3920454545454578E-4</v>
      </c>
      <c r="J433" s="31">
        <v>2.9922960725075518E-3</v>
      </c>
      <c r="K433" s="31">
        <v>9.5508196721311462E-3</v>
      </c>
      <c r="L433" s="31">
        <v>9.7404604316546784E-3</v>
      </c>
      <c r="M433" s="31">
        <v>6.5003906249999988E-3</v>
      </c>
      <c r="N433" s="31">
        <v>1.8396774193548387E-2</v>
      </c>
      <c r="O433" s="31">
        <v>6.8107476635514029E-3</v>
      </c>
      <c r="P433" s="31">
        <v>0</v>
      </c>
      <c r="Q433" s="32">
        <v>9.13955481588083</v>
      </c>
      <c r="R433" s="32">
        <v>2.5832140989282801</v>
      </c>
      <c r="S433" s="32">
        <v>40.762817733506957</v>
      </c>
      <c r="T433" s="32">
        <v>32.422242205303498</v>
      </c>
      <c r="U433" s="32">
        <v>3.9536842149409632</v>
      </c>
      <c r="V433" s="32">
        <v>2.2740212521730574</v>
      </c>
      <c r="W433" s="33">
        <v>0.31633333333333336</v>
      </c>
      <c r="X433" s="33">
        <v>-3.0037437999999987</v>
      </c>
    </row>
    <row r="434" spans="1:24" x14ac:dyDescent="0.15">
      <c r="A434" s="29" t="s">
        <v>396</v>
      </c>
      <c r="B434" s="30">
        <v>45.78977031419285</v>
      </c>
      <c r="C434" s="31">
        <v>5.4392113519680547E-2</v>
      </c>
      <c r="D434" s="31">
        <v>5.1849829351535828E-2</v>
      </c>
      <c r="E434" s="31">
        <v>0.11360844290312121</v>
      </c>
      <c r="F434" s="31">
        <v>9.9833524684270984E-4</v>
      </c>
      <c r="G434" s="31">
        <v>1.0139165009940359E-3</v>
      </c>
      <c r="H434" s="31">
        <v>3.2861492946876465E-2</v>
      </c>
      <c r="I434" s="31">
        <v>3.8352272727272736E-4</v>
      </c>
      <c r="J434" s="31">
        <v>2.8096676737160114E-3</v>
      </c>
      <c r="K434" s="31">
        <v>1.0445901639344262E-2</v>
      </c>
      <c r="L434" s="31">
        <v>9.5134100719424484E-3</v>
      </c>
      <c r="M434" s="31">
        <v>4.2328125000000005E-3</v>
      </c>
      <c r="N434" s="31">
        <v>1.546451612903226E-2</v>
      </c>
      <c r="O434" s="31">
        <v>4.5718008626887147E-3</v>
      </c>
      <c r="P434" s="31">
        <v>0</v>
      </c>
      <c r="Q434" s="32">
        <v>8.0929276210701833</v>
      </c>
      <c r="R434" s="32">
        <v>1.748640594874592</v>
      </c>
      <c r="S434" s="32">
        <v>37.403366792154877</v>
      </c>
      <c r="T434" s="32">
        <v>30.28624792831987</v>
      </c>
      <c r="U434" s="32">
        <v>2.6268987952278833</v>
      </c>
      <c r="V434" s="32">
        <v>1.2667005140067193</v>
      </c>
      <c r="W434" s="33">
        <v>0.36885714285714283</v>
      </c>
      <c r="X434" s="33">
        <v>-3.2775050000000014</v>
      </c>
    </row>
    <row r="435" spans="1:24" x14ac:dyDescent="0.15">
      <c r="A435" s="29" t="s">
        <v>397</v>
      </c>
      <c r="B435" s="30">
        <v>45.882446370530879</v>
      </c>
      <c r="C435" s="31">
        <v>6.7688783513976045E-2</v>
      </c>
      <c r="D435" s="31">
        <v>0.15972696245733789</v>
      </c>
      <c r="E435" s="31">
        <v>0.22833013148374545</v>
      </c>
      <c r="F435" s="31">
        <v>5.4586394948335252E-3</v>
      </c>
      <c r="G435" s="31">
        <v>3.9711729622266406E-3</v>
      </c>
      <c r="H435" s="31">
        <v>5.4871380182652321E-2</v>
      </c>
      <c r="I435" s="31">
        <v>8.4375000000000021E-4</v>
      </c>
      <c r="J435" s="31">
        <v>3.1187311178247738E-3</v>
      </c>
      <c r="K435" s="31">
        <v>8.9508196721311481E-3</v>
      </c>
      <c r="L435" s="31">
        <v>1.1238992805755396E-2</v>
      </c>
      <c r="M435" s="31">
        <v>8.4074819711538462E-3</v>
      </c>
      <c r="N435" s="31">
        <v>1.4506451612903228E-2</v>
      </c>
      <c r="O435" s="31">
        <v>8.3404475197699501E-3</v>
      </c>
      <c r="P435" s="31">
        <v>0</v>
      </c>
      <c r="Q435" s="32">
        <v>10.226238541042314</v>
      </c>
      <c r="R435" s="32">
        <v>3.2144826866016856</v>
      </c>
      <c r="S435" s="32">
        <v>44.342146724607311</v>
      </c>
      <c r="T435" s="32">
        <v>20.48687331675989</v>
      </c>
      <c r="U435" s="32">
        <v>5.1167801074201549</v>
      </c>
      <c r="V435" s="32">
        <v>2.7459592789720437</v>
      </c>
      <c r="W435" s="33">
        <v>0.35188888888888892</v>
      </c>
      <c r="X435" s="33">
        <v>-2.4622786360000042</v>
      </c>
    </row>
    <row r="436" spans="1:24" x14ac:dyDescent="0.15">
      <c r="A436" s="29" t="s">
        <v>398</v>
      </c>
      <c r="B436" s="30">
        <v>45.975122426868907</v>
      </c>
      <c r="C436" s="31">
        <v>6.862360952652595E-2</v>
      </c>
      <c r="D436" s="31">
        <v>0.15075767918088737</v>
      </c>
      <c r="E436" s="31">
        <v>0.21797809435892324</v>
      </c>
      <c r="F436" s="31">
        <v>5.658766606527801E-3</v>
      </c>
      <c r="G436" s="31">
        <v>3.219184890656064E-3</v>
      </c>
      <c r="H436" s="31">
        <v>5.0389195215023781E-2</v>
      </c>
      <c r="I436" s="31">
        <v>7.6704545454545471E-4</v>
      </c>
      <c r="J436" s="31">
        <v>3.2592145015105734E-3</v>
      </c>
      <c r="K436" s="31">
        <v>8.5377049180327853E-3</v>
      </c>
      <c r="L436" s="31">
        <v>1.1761208633093522E-2</v>
      </c>
      <c r="M436" s="31">
        <v>7.7679086538461539E-3</v>
      </c>
      <c r="N436" s="31">
        <v>1.4196774193548386E-2</v>
      </c>
      <c r="O436" s="31">
        <v>7.4335010783608928E-3</v>
      </c>
      <c r="P436" s="31">
        <v>0</v>
      </c>
      <c r="Q436" s="32">
        <v>10.074166420728204</v>
      </c>
      <c r="R436" s="32">
        <v>3.0582653719951178</v>
      </c>
      <c r="S436" s="32">
        <v>44.584384507970249</v>
      </c>
      <c r="T436" s="32">
        <v>20.620849647814371</v>
      </c>
      <c r="U436" s="32">
        <v>5.0498565401315787</v>
      </c>
      <c r="V436" s="32">
        <v>2.5797614232963295</v>
      </c>
      <c r="W436" s="33">
        <v>0.2682222222222222</v>
      </c>
      <c r="X436" s="33">
        <v>-2.6816971600000024</v>
      </c>
    </row>
    <row r="437" spans="1:24" x14ac:dyDescent="0.15">
      <c r="A437" s="29" t="s">
        <v>399</v>
      </c>
      <c r="B437" s="30">
        <v>46.067798483206928</v>
      </c>
      <c r="C437" s="31">
        <v>7.7563655761024183E-2</v>
      </c>
      <c r="D437" s="31">
        <v>0.17953790860859142</v>
      </c>
      <c r="E437" s="31">
        <v>0.21653390421188889</v>
      </c>
      <c r="F437" s="31">
        <v>3.5025323998212426E-3</v>
      </c>
      <c r="G437" s="31">
        <v>3.4670094258783201E-3</v>
      </c>
      <c r="H437" s="31">
        <v>4.4358399141630922E-2</v>
      </c>
      <c r="I437" s="31">
        <v>7.6487252124645896E-4</v>
      </c>
      <c r="J437" s="31">
        <v>3.0023059185242122E-3</v>
      </c>
      <c r="K437" s="31">
        <v>8.3618104667609622E-3</v>
      </c>
      <c r="L437" s="31">
        <v>1.7435897806004619E-2</v>
      </c>
      <c r="M437" s="31">
        <v>8.4844086021505401E-3</v>
      </c>
      <c r="N437" s="31">
        <v>1.7455404255319149E-2</v>
      </c>
      <c r="O437" s="31">
        <v>7.8954680167942701E-3</v>
      </c>
      <c r="P437" s="31">
        <v>0</v>
      </c>
      <c r="Q437" s="32">
        <v>10.752944779205144</v>
      </c>
      <c r="R437" s="32">
        <v>3.0253538497680146</v>
      </c>
      <c r="S437" s="32">
        <v>46.276904548987638</v>
      </c>
      <c r="T437" s="32">
        <v>24.970851565451103</v>
      </c>
      <c r="U437" s="32">
        <v>3.858786541751984</v>
      </c>
      <c r="V437" s="32">
        <v>3.0495005171259959</v>
      </c>
      <c r="W437" s="33">
        <v>-0.39700000000000002</v>
      </c>
      <c r="X437" s="33">
        <v>-3.2530389400000068</v>
      </c>
    </row>
    <row r="438" spans="1:24" x14ac:dyDescent="0.15">
      <c r="A438" s="29" t="s">
        <v>400</v>
      </c>
      <c r="B438" s="30">
        <v>46.160474539544957</v>
      </c>
      <c r="C438" s="31">
        <v>6.7724039829303015E-2</v>
      </c>
      <c r="D438" s="31">
        <v>0.20282731473558091</v>
      </c>
      <c r="E438" s="31">
        <v>0.25856965050283787</v>
      </c>
      <c r="F438" s="31">
        <v>4.90354535974974E-3</v>
      </c>
      <c r="G438" s="31">
        <v>4.7830579018239665E-3</v>
      </c>
      <c r="H438" s="31">
        <v>4.5586313304721036E-2</v>
      </c>
      <c r="I438" s="31">
        <v>8.923512747875356E-4</v>
      </c>
      <c r="J438" s="31">
        <v>3.2310530361260568E-3</v>
      </c>
      <c r="K438" s="31">
        <v>7.811032531824612E-3</v>
      </c>
      <c r="L438" s="31">
        <v>1.3062687644341804E-2</v>
      </c>
      <c r="M438" s="31">
        <v>1.0461021505376344E-2</v>
      </c>
      <c r="N438" s="31">
        <v>1.4856510638297868E-2</v>
      </c>
      <c r="O438" s="31">
        <v>8.8938626821437397E-3</v>
      </c>
      <c r="P438" s="31">
        <v>0</v>
      </c>
      <c r="Q438" s="32">
        <v>11.394181684921241</v>
      </c>
      <c r="R438" s="32">
        <v>3.5578767545662773</v>
      </c>
      <c r="S438" s="32">
        <v>48.114316875050605</v>
      </c>
      <c r="T438" s="32">
        <v>15.741653503649323</v>
      </c>
      <c r="U438" s="32">
        <v>4.4682428823875897</v>
      </c>
      <c r="V438" s="32">
        <v>3.4685614771551987</v>
      </c>
      <c r="W438" s="33">
        <v>-0.27522222222222226</v>
      </c>
      <c r="X438" s="33">
        <v>-2.8466005599999988</v>
      </c>
    </row>
    <row r="439" spans="1:24" x14ac:dyDescent="0.15">
      <c r="A439" s="29" t="s">
        <v>401</v>
      </c>
      <c r="B439" s="30">
        <v>46.253150595882985</v>
      </c>
      <c r="C439" s="31">
        <v>6.8546052631578952E-2</v>
      </c>
      <c r="D439" s="31">
        <v>0.20221119288036957</v>
      </c>
      <c r="E439" s="31">
        <v>0.25024494672906511</v>
      </c>
      <c r="F439" s="31">
        <v>5.7441531357068391E-3</v>
      </c>
      <c r="G439" s="31">
        <v>3.9746786632390745E-3</v>
      </c>
      <c r="H439" s="31">
        <v>4.6306532188841218E-2</v>
      </c>
      <c r="I439" s="31">
        <v>8.923512747875356E-4</v>
      </c>
      <c r="J439" s="31">
        <v>3.2310530361260568E-3</v>
      </c>
      <c r="K439" s="31">
        <v>7.5206223479490813E-3</v>
      </c>
      <c r="L439" s="31">
        <v>1.0101659930715934E-2</v>
      </c>
      <c r="M439" s="31">
        <v>1.0449462365591401E-2</v>
      </c>
      <c r="N439" s="31">
        <v>1.4896340425531909E-2</v>
      </c>
      <c r="O439" s="31">
        <v>9.1383674981476929E-3</v>
      </c>
      <c r="P439" s="31">
        <v>0</v>
      </c>
      <c r="Q439" s="32">
        <v>11.345997605312952</v>
      </c>
      <c r="R439" s="32">
        <v>3.4565309508427791</v>
      </c>
      <c r="S439" s="32">
        <v>48.069552240934854</v>
      </c>
      <c r="T439" s="32">
        <v>15.071732742263924</v>
      </c>
      <c r="U439" s="32">
        <v>4.2863199910240937</v>
      </c>
      <c r="V439" s="32">
        <v>3.3981833667944272</v>
      </c>
      <c r="W439" s="33">
        <v>-0.28555555555555556</v>
      </c>
      <c r="X439" s="33">
        <v>-2.7546642200000022</v>
      </c>
    </row>
    <row r="440" spans="1:24" x14ac:dyDescent="0.15">
      <c r="A440" s="29" t="s">
        <v>402</v>
      </c>
      <c r="B440" s="30">
        <v>46.345826652221014</v>
      </c>
      <c r="C440" s="31">
        <v>6.9588904694167869E-2</v>
      </c>
      <c r="D440" s="31">
        <v>0.21342461064521639</v>
      </c>
      <c r="E440" s="31">
        <v>0.24777158219655485</v>
      </c>
      <c r="F440" s="31">
        <v>5.6717674661105333E-3</v>
      </c>
      <c r="G440" s="31">
        <v>5.770094258783204E-3</v>
      </c>
      <c r="H440" s="31">
        <v>4.5102231759656664E-2</v>
      </c>
      <c r="I440" s="31">
        <v>8.923512747875356E-4</v>
      </c>
      <c r="J440" s="31">
        <v>3.2382013835511145E-3</v>
      </c>
      <c r="K440" s="31">
        <v>8.0814144271570045E-3</v>
      </c>
      <c r="L440" s="31">
        <v>1.0591368360277138E-2</v>
      </c>
      <c r="M440" s="31">
        <v>1.0148924731182797E-2</v>
      </c>
      <c r="N440" s="31">
        <v>1.4627489361702125E-2</v>
      </c>
      <c r="O440" s="31">
        <v>8.1909113361323792E-3</v>
      </c>
      <c r="P440" s="31">
        <v>0</v>
      </c>
      <c r="Q440" s="32">
        <v>10.947766768313899</v>
      </c>
      <c r="R440" s="32">
        <v>3.4325121865272794</v>
      </c>
      <c r="S440" s="32">
        <v>45.888051079096677</v>
      </c>
      <c r="T440" s="32">
        <v>14.54649978073699</v>
      </c>
      <c r="U440" s="32">
        <v>4.3951871476255926</v>
      </c>
      <c r="V440" s="32">
        <v>3.3348734562268056</v>
      </c>
      <c r="W440" s="33">
        <v>-0.2233333333333333</v>
      </c>
      <c r="X440" s="33">
        <v>-2.7101048885714292</v>
      </c>
    </row>
    <row r="441" spans="1:24" x14ac:dyDescent="0.15">
      <c r="A441" s="29" t="s">
        <v>403</v>
      </c>
      <c r="B441" s="30">
        <v>46.438502708559042</v>
      </c>
      <c r="C441" s="31">
        <v>6.8582859174964442E-2</v>
      </c>
      <c r="D441" s="31">
        <v>0.19420160876262191</v>
      </c>
      <c r="E441" s="31">
        <v>0.24850443094692828</v>
      </c>
      <c r="F441" s="31">
        <v>4.719662408759125E-3</v>
      </c>
      <c r="G441" s="31">
        <v>3.9994430162810625E-3</v>
      </c>
      <c r="H441" s="31">
        <v>4.3071450643776835E-2</v>
      </c>
      <c r="I441" s="31">
        <v>8.923512747875356E-4</v>
      </c>
      <c r="J441" s="31">
        <v>3.1595695618754803E-3</v>
      </c>
      <c r="K441" s="31">
        <v>7.8310608203677502E-3</v>
      </c>
      <c r="L441" s="31">
        <v>1.0864693995381062E-2</v>
      </c>
      <c r="M441" s="31">
        <v>9.9061827956989281E-3</v>
      </c>
      <c r="N441" s="31">
        <v>1.4796765957446802E-2</v>
      </c>
      <c r="O441" s="31">
        <v>8.262225240800199E-3</v>
      </c>
      <c r="P441" s="31">
        <v>0</v>
      </c>
      <c r="Q441" s="32">
        <v>11.352600533451842</v>
      </c>
      <c r="R441" s="32">
        <v>3.3305792271098835</v>
      </c>
      <c r="S441" s="32">
        <v>48.179462155593043</v>
      </c>
      <c r="T441" s="32">
        <v>16.562350065344724</v>
      </c>
      <c r="U441" s="32">
        <v>4.4015048946733613</v>
      </c>
      <c r="V441" s="32">
        <v>3.3756956865608081</v>
      </c>
      <c r="W441" s="33">
        <v>-0.24714285714285714</v>
      </c>
      <c r="X441" s="33">
        <v>-2.7459956285714284</v>
      </c>
    </row>
    <row r="442" spans="1:24" x14ac:dyDescent="0.15">
      <c r="A442" s="29" t="s">
        <v>404</v>
      </c>
      <c r="B442" s="30">
        <v>46.531178764897071</v>
      </c>
      <c r="C442" s="31">
        <v>8.0005156472261765E-2</v>
      </c>
      <c r="D442" s="31">
        <v>0.13369844258086594</v>
      </c>
      <c r="E442" s="31">
        <v>0.14923777755650705</v>
      </c>
      <c r="F442" s="31">
        <v>3.5109384775808142E-3</v>
      </c>
      <c r="G442" s="31">
        <v>2.0471865181376746E-3</v>
      </c>
      <c r="H442" s="31">
        <v>3.9883596566523606E-2</v>
      </c>
      <c r="I442" s="31">
        <v>5.0991501416430601E-4</v>
      </c>
      <c r="J442" s="31">
        <v>2.9522674865488084E-3</v>
      </c>
      <c r="K442" s="31">
        <v>8.9526449787835933E-3</v>
      </c>
      <c r="L442" s="31">
        <v>1.6353983833718246E-2</v>
      </c>
      <c r="M442" s="31">
        <v>5.9298387096774216E-3</v>
      </c>
      <c r="N442" s="31">
        <v>1.5772595744680849E-2</v>
      </c>
      <c r="O442" s="31">
        <v>4.1769572734008404E-3</v>
      </c>
      <c r="P442" s="31">
        <v>0</v>
      </c>
      <c r="Q442" s="32">
        <v>9.0847032848111002</v>
      </c>
      <c r="R442" s="32">
        <v>2.1317711575732661</v>
      </c>
      <c r="S442" s="32">
        <v>40.463644981937072</v>
      </c>
      <c r="T442" s="32">
        <v>40.589782213210498</v>
      </c>
      <c r="U442" s="32">
        <v>3.0007887296289018</v>
      </c>
      <c r="V442" s="32">
        <v>2.302218470523818</v>
      </c>
      <c r="W442" s="33">
        <v>0.26357142857142857</v>
      </c>
      <c r="X442" s="33">
        <v>-2.611424600000003</v>
      </c>
    </row>
    <row r="443" spans="1:24" x14ac:dyDescent="0.15">
      <c r="A443" s="29" t="s">
        <v>405</v>
      </c>
      <c r="B443" s="30">
        <v>46.623854821235099</v>
      </c>
      <c r="C443" s="31">
        <v>8.1465149359886219E-2</v>
      </c>
      <c r="D443" s="31">
        <v>0.1921067944549032</v>
      </c>
      <c r="E443" s="31">
        <v>0.10264462809917356</v>
      </c>
      <c r="F443" s="31">
        <v>2.3677119022791604E-3</v>
      </c>
      <c r="G443" s="31">
        <v>2.4599257355041411E-3</v>
      </c>
      <c r="H443" s="31">
        <v>3.5574090128755377E-2</v>
      </c>
      <c r="I443" s="31">
        <v>3.8243626062322948E-4</v>
      </c>
      <c r="J443" s="31">
        <v>3.0594926979246738E-3</v>
      </c>
      <c r="K443" s="31">
        <v>9.1729561527581337E-3</v>
      </c>
      <c r="L443" s="31">
        <v>9.2589058891454981E-3</v>
      </c>
      <c r="M443" s="31">
        <v>4.623655913978497E-3</v>
      </c>
      <c r="N443" s="31">
        <v>1.8739914893617017E-2</v>
      </c>
      <c r="O443" s="31">
        <v>2.7361253219489825E-3</v>
      </c>
      <c r="P443" s="31">
        <v>0</v>
      </c>
      <c r="Q443" s="32">
        <v>7.5742809295394578</v>
      </c>
      <c r="R443" s="32">
        <v>1.8195818406060962</v>
      </c>
      <c r="S443" s="32">
        <v>33.932673451598696</v>
      </c>
      <c r="T443" s="32">
        <v>52.727750665387283</v>
      </c>
      <c r="U443" s="32">
        <v>2.2749316989705757</v>
      </c>
      <c r="V443" s="32">
        <v>1.8765282594147352</v>
      </c>
      <c r="W443" s="33">
        <v>0.63833333333333331</v>
      </c>
      <c r="X443" s="33">
        <v>-2.8721444200000015</v>
      </c>
    </row>
    <row r="444" spans="1:24" x14ac:dyDescent="0.15">
      <c r="A444" s="29" t="s">
        <v>406</v>
      </c>
      <c r="B444" s="30">
        <v>46.716530877573128</v>
      </c>
      <c r="C444" s="31">
        <v>6.6669999999999993E-2</v>
      </c>
      <c r="D444" s="31">
        <v>1.1780000000000002E-2</v>
      </c>
      <c r="E444" s="31">
        <v>8.3339999999999997E-2</v>
      </c>
      <c r="F444" s="31">
        <v>2.64E-3</v>
      </c>
      <c r="G444" s="31">
        <v>2.0999999999999999E-3</v>
      </c>
      <c r="H444" s="31">
        <v>3.2640000000000002E-2</v>
      </c>
      <c r="I444" s="31">
        <v>2.9999999999999997E-4</v>
      </c>
      <c r="J444" s="31">
        <v>4.2000000000000006E-3</v>
      </c>
      <c r="K444" s="31">
        <v>9.7800000000000005E-3</v>
      </c>
      <c r="L444" s="31">
        <v>8.7200000000000021E-3</v>
      </c>
      <c r="M444" s="31">
        <v>3.5700000000000003E-3</v>
      </c>
      <c r="N444" s="31">
        <v>2.1130000000000003E-2</v>
      </c>
      <c r="O444" s="31">
        <v>3.5999999999999995E-3</v>
      </c>
      <c r="P444" s="31">
        <v>0</v>
      </c>
      <c r="Q444" s="32">
        <v>6.6548400000000001</v>
      </c>
      <c r="R444" s="32">
        <v>1.1838500000000001</v>
      </c>
      <c r="S444" s="32">
        <v>27.932920000000003</v>
      </c>
      <c r="T444" s="32">
        <v>58.329660000000004</v>
      </c>
      <c r="U444" s="32">
        <v>1.8312999999999999</v>
      </c>
      <c r="V444" s="32">
        <v>1.4224300000000003</v>
      </c>
      <c r="W444" s="33">
        <v>0.503</v>
      </c>
      <c r="X444" s="33">
        <v>-3.0851176999999979</v>
      </c>
    </row>
    <row r="445" spans="1:24" x14ac:dyDescent="0.15">
      <c r="A445" s="29" t="s">
        <v>407</v>
      </c>
      <c r="B445" s="30">
        <v>46.809206933911156</v>
      </c>
      <c r="C445" s="31">
        <v>6.9435038254463011E-2</v>
      </c>
      <c r="D445" s="31">
        <v>0.21707241910631747</v>
      </c>
      <c r="E445" s="31">
        <v>0.20195514797832431</v>
      </c>
      <c r="F445" s="31">
        <v>4.5295708538220835E-3</v>
      </c>
      <c r="G445" s="31">
        <v>4.7502431906614774E-3</v>
      </c>
      <c r="H445" s="31">
        <v>4.0754676445211399E-2</v>
      </c>
      <c r="I445" s="31">
        <v>7.5857142857142855E-4</v>
      </c>
      <c r="J445" s="31">
        <v>2.9990915972747919E-3</v>
      </c>
      <c r="K445" s="31">
        <v>8.1011538461538465E-3</v>
      </c>
      <c r="L445" s="31">
        <v>9.6765222398157488E-3</v>
      </c>
      <c r="M445" s="31">
        <v>7.6500000000000005E-3</v>
      </c>
      <c r="N445" s="31">
        <v>1.7806257822277849E-2</v>
      </c>
      <c r="O445" s="31">
        <v>7.47131400370142E-3</v>
      </c>
      <c r="P445" s="31">
        <v>0</v>
      </c>
      <c r="Q445" s="32">
        <v>10.043684069685057</v>
      </c>
      <c r="R445" s="32">
        <v>2.9396090454521859</v>
      </c>
      <c r="S445" s="32">
        <v>44.39831592563965</v>
      </c>
      <c r="T445" s="32">
        <v>27.756374961044365</v>
      </c>
      <c r="U445" s="32">
        <v>3.2640209248584267</v>
      </c>
      <c r="V445" s="32">
        <v>2.8035003490333295</v>
      </c>
      <c r="W445" s="33">
        <v>0.30155555555555552</v>
      </c>
      <c r="X445" s="33">
        <v>-2.915687540000004</v>
      </c>
    </row>
    <row r="446" spans="1:24" x14ac:dyDescent="0.15">
      <c r="A446" s="29" t="s">
        <v>408</v>
      </c>
      <c r="B446" s="30">
        <v>46.901882990249185</v>
      </c>
      <c r="C446" s="31">
        <v>6.5109096061207114E-2</v>
      </c>
      <c r="D446" s="31">
        <v>0.13657935285053932</v>
      </c>
      <c r="E446" s="31">
        <v>0.20182859524802005</v>
      </c>
      <c r="F446" s="31">
        <v>5.0486902101028177E-3</v>
      </c>
      <c r="G446" s="31">
        <v>4.0350194552529169E-3</v>
      </c>
      <c r="H446" s="31">
        <v>3.7087467644521151E-2</v>
      </c>
      <c r="I446" s="31">
        <v>6.4285714285714315E-4</v>
      </c>
      <c r="J446" s="31">
        <v>2.935730507191522E-3</v>
      </c>
      <c r="K446" s="31">
        <v>7.9844505494505481E-3</v>
      </c>
      <c r="L446" s="31">
        <v>9.3698718871455308E-3</v>
      </c>
      <c r="M446" s="31">
        <v>7.4538461538461555E-3</v>
      </c>
      <c r="N446" s="31">
        <v>1.7269336670838551E-2</v>
      </c>
      <c r="O446" s="31">
        <v>7.057371992597164E-3</v>
      </c>
      <c r="P446" s="31">
        <v>0</v>
      </c>
      <c r="Q446" s="32">
        <v>10.475102858133321</v>
      </c>
      <c r="R446" s="32">
        <v>2.782526627679637</v>
      </c>
      <c r="S446" s="32">
        <v>46.356024827118468</v>
      </c>
      <c r="T446" s="32">
        <v>29.031328344125495</v>
      </c>
      <c r="U446" s="32">
        <v>3.3881322532314182</v>
      </c>
      <c r="V446" s="32">
        <v>2.7898786404609845</v>
      </c>
      <c r="W446" s="33">
        <v>0.46455555555555555</v>
      </c>
      <c r="X446" s="33">
        <v>-2.8623148839999999</v>
      </c>
    </row>
    <row r="447" spans="1:24" x14ac:dyDescent="0.15">
      <c r="A447" s="29" t="s">
        <v>409</v>
      </c>
      <c r="B447" s="30">
        <v>46.994559046587213</v>
      </c>
      <c r="C447" s="31">
        <v>6.7577571550014162E-2</v>
      </c>
      <c r="D447" s="31">
        <v>0.14816640986132515</v>
      </c>
      <c r="E447" s="31">
        <v>0.204842851187995</v>
      </c>
      <c r="F447" s="31">
        <v>5.7815645954403224E-3</v>
      </c>
      <c r="G447" s="31">
        <v>3.5294608115619777E-3</v>
      </c>
      <c r="H447" s="31">
        <v>3.7194279551337368E-2</v>
      </c>
      <c r="I447" s="31">
        <v>6.4285714285714315E-4</v>
      </c>
      <c r="J447" s="31">
        <v>2.8794095382286143E-3</v>
      </c>
      <c r="K447" s="31">
        <v>8.4512637362637363E-3</v>
      </c>
      <c r="L447" s="31">
        <v>9.4493738304303986E-3</v>
      </c>
      <c r="M447" s="31">
        <v>7.3153846153846168E-3</v>
      </c>
      <c r="N447" s="31">
        <v>1.7620775969962452E-2</v>
      </c>
      <c r="O447" s="31">
        <v>7.1252313386798291E-3</v>
      </c>
      <c r="P447" s="31">
        <v>0</v>
      </c>
      <c r="Q447" s="32">
        <v>10.244927946091089</v>
      </c>
      <c r="R447" s="32">
        <v>2.6829977853521805</v>
      </c>
      <c r="S447" s="32">
        <v>46.768624884274651</v>
      </c>
      <c r="T447" s="32">
        <v>29.038557342705776</v>
      </c>
      <c r="U447" s="32">
        <v>3.3050237436196963</v>
      </c>
      <c r="V447" s="32">
        <v>2.7916417140354763</v>
      </c>
      <c r="W447" s="33">
        <v>0.33233333333333337</v>
      </c>
      <c r="X447" s="33">
        <v>-3.0184326742857159</v>
      </c>
    </row>
    <row r="448" spans="1:24" x14ac:dyDescent="0.15">
      <c r="A448" s="29" t="s">
        <v>410</v>
      </c>
      <c r="B448" s="30">
        <v>47.087235102925234</v>
      </c>
      <c r="C448" s="31">
        <v>6.9581680362708981E-2</v>
      </c>
      <c r="D448" s="31">
        <v>0.14804314329738064</v>
      </c>
      <c r="E448" s="31">
        <v>0.18976006669445605</v>
      </c>
      <c r="F448" s="31">
        <v>4.6415377738042024E-3</v>
      </c>
      <c r="G448" s="31">
        <v>3.3735408560311275E-3</v>
      </c>
      <c r="H448" s="31">
        <v>3.80131708369284E-2</v>
      </c>
      <c r="I448" s="31">
        <v>6.4285714285714315E-4</v>
      </c>
      <c r="J448" s="31">
        <v>2.8090083270249809E-3</v>
      </c>
      <c r="K448" s="31">
        <v>8.6652197802197795E-3</v>
      </c>
      <c r="L448" s="31">
        <v>9.2108680005757899E-3</v>
      </c>
      <c r="M448" s="31">
        <v>6.8884615384615395E-3</v>
      </c>
      <c r="N448" s="31">
        <v>1.7464580725907387E-2</v>
      </c>
      <c r="O448" s="31">
        <v>6.5017735965453441E-3</v>
      </c>
      <c r="P448" s="31">
        <v>0</v>
      </c>
      <c r="Q448" s="32">
        <v>10.170206415671537</v>
      </c>
      <c r="R448" s="32">
        <v>2.6201374638822088</v>
      </c>
      <c r="S448" s="32">
        <v>45.078432702572108</v>
      </c>
      <c r="T448" s="32">
        <v>31.662983785795909</v>
      </c>
      <c r="U448" s="32">
        <v>3.1212699662256527</v>
      </c>
      <c r="V448" s="32">
        <v>2.7514279148618832</v>
      </c>
      <c r="W448" s="33">
        <v>0.47000000000000003</v>
      </c>
      <c r="X448" s="33">
        <v>-2.9337945800000007</v>
      </c>
    </row>
    <row r="449" spans="1:24" x14ac:dyDescent="0.15">
      <c r="A449" s="29" t="s">
        <v>411</v>
      </c>
      <c r="B449" s="30">
        <v>47.17991115926327</v>
      </c>
      <c r="C449" s="31">
        <v>8.1227507792575787E-2</v>
      </c>
      <c r="D449" s="31">
        <v>0.12869029275808938</v>
      </c>
      <c r="E449" s="31">
        <v>0.11431162984576909</v>
      </c>
      <c r="F449" s="31">
        <v>3.359007599463568E-3</v>
      </c>
      <c r="G449" s="31">
        <v>2.2159533073929953E-3</v>
      </c>
      <c r="H449" s="31">
        <v>3.7111203623813642E-2</v>
      </c>
      <c r="I449" s="31">
        <v>3.8571428571428573E-4</v>
      </c>
      <c r="J449" s="31">
        <v>3.0131718395155186E-3</v>
      </c>
      <c r="K449" s="31">
        <v>9.3265384615384625E-3</v>
      </c>
      <c r="L449" s="31">
        <v>8.9496473297826402E-3</v>
      </c>
      <c r="M449" s="31">
        <v>4.7076923076923086E-3</v>
      </c>
      <c r="N449" s="31">
        <v>2.3526908635794746E-2</v>
      </c>
      <c r="O449" s="31">
        <v>4.2460562263153265E-3</v>
      </c>
      <c r="P449" s="31">
        <v>0</v>
      </c>
      <c r="Q449" s="32">
        <v>7.6810779045829287</v>
      </c>
      <c r="R449" s="32">
        <v>1.7214919978545595</v>
      </c>
      <c r="S449" s="32">
        <v>33.454292574392603</v>
      </c>
      <c r="T449" s="32">
        <v>55.777453253228984</v>
      </c>
      <c r="U449" s="32">
        <v>2.4723334772340584</v>
      </c>
      <c r="V449" s="32">
        <v>1.864197635244996</v>
      </c>
      <c r="W449" s="33">
        <v>0.53885714285714292</v>
      </c>
      <c r="X449" s="33">
        <v>-3.3780637399999982</v>
      </c>
    </row>
    <row r="450" spans="1:24" x14ac:dyDescent="0.15">
      <c r="A450" s="29" t="s">
        <v>412</v>
      </c>
      <c r="B450" s="30">
        <v>47.272587215601291</v>
      </c>
      <c r="C450" s="31">
        <v>7.6156134882402943E-2</v>
      </c>
      <c r="D450" s="31">
        <v>0.14841294298921423</v>
      </c>
      <c r="E450" s="31">
        <v>0.13072897040433512</v>
      </c>
      <c r="F450" s="31">
        <v>2.8093518104604382E-3</v>
      </c>
      <c r="G450" s="31">
        <v>2.5797665369649797E-3</v>
      </c>
      <c r="H450" s="31">
        <v>3.7502847282139783E-2</v>
      </c>
      <c r="I450" s="31">
        <v>5.0142857142857161E-4</v>
      </c>
      <c r="J450" s="31">
        <v>2.8512490537471618E-3</v>
      </c>
      <c r="K450" s="31">
        <v>8.9180769230769244E-3</v>
      </c>
      <c r="L450" s="31">
        <v>8.2795595220958706E-3</v>
      </c>
      <c r="M450" s="31">
        <v>5.030769230769231E-3</v>
      </c>
      <c r="N450" s="31">
        <v>2.0891113892365462E-2</v>
      </c>
      <c r="O450" s="31">
        <v>3.8679827267119079E-3</v>
      </c>
      <c r="P450" s="31">
        <v>0</v>
      </c>
      <c r="Q450" s="32">
        <v>8.5278098591763456</v>
      </c>
      <c r="R450" s="32">
        <v>1.9710184784677403</v>
      </c>
      <c r="S450" s="32">
        <v>36.542170209209161</v>
      </c>
      <c r="T450" s="32">
        <v>46.85072985560442</v>
      </c>
      <c r="U450" s="32">
        <v>2.8000830391833214</v>
      </c>
      <c r="V450" s="32">
        <v>2.0644917771216247</v>
      </c>
      <c r="W450" s="33">
        <v>0.55155555555555558</v>
      </c>
      <c r="X450" s="33">
        <v>-3.0319821600000019</v>
      </c>
    </row>
    <row r="451" spans="1:24" x14ac:dyDescent="0.15">
      <c r="A451" s="29" t="s">
        <v>413</v>
      </c>
      <c r="B451" s="30">
        <v>47.36526327193932</v>
      </c>
      <c r="C451" s="31">
        <v>7.0301211514949447E-2</v>
      </c>
      <c r="D451" s="31">
        <v>0.14514011208967173</v>
      </c>
      <c r="E451" s="31">
        <v>0.22838758894632311</v>
      </c>
      <c r="F451" s="31">
        <v>4.6645879732739428E-3</v>
      </c>
      <c r="G451" s="31">
        <v>3.8494450050454076E-3</v>
      </c>
      <c r="H451" s="31">
        <v>4.4368058742542446E-2</v>
      </c>
      <c r="I451" s="31">
        <v>7.7253218884120172E-4</v>
      </c>
      <c r="J451" s="31">
        <v>2.9970217640320732E-3</v>
      </c>
      <c r="K451" s="31">
        <v>8.6891348913489125E-3</v>
      </c>
      <c r="L451" s="31">
        <v>9.7352327098738575E-3</v>
      </c>
      <c r="M451" s="31">
        <v>7.7705186533211998E-3</v>
      </c>
      <c r="N451" s="31">
        <v>1.7490293159609125E-2</v>
      </c>
      <c r="O451" s="31">
        <v>7.2411545623836098E-3</v>
      </c>
      <c r="P451" s="31">
        <v>0</v>
      </c>
      <c r="Q451" s="32">
        <v>10.692896132323446</v>
      </c>
      <c r="R451" s="32">
        <v>3.0200896401758222</v>
      </c>
      <c r="S451" s="32">
        <v>45.705768518139585</v>
      </c>
      <c r="T451" s="32">
        <v>29.296466562779749</v>
      </c>
      <c r="U451" s="32">
        <v>3.8891894303450574</v>
      </c>
      <c r="V451" s="32">
        <v>3.0093046565700994</v>
      </c>
      <c r="W451" s="33">
        <v>0.41488888888888886</v>
      </c>
      <c r="X451" s="33">
        <v>-2.6780942285714282</v>
      </c>
    </row>
    <row r="452" spans="1:24" x14ac:dyDescent="0.15">
      <c r="A452" s="29" t="s">
        <v>414</v>
      </c>
      <c r="B452" s="30">
        <v>47.457939328277348</v>
      </c>
      <c r="C452" s="31">
        <v>7.090196732244082E-2</v>
      </c>
      <c r="D452" s="31">
        <v>0.13860688550840669</v>
      </c>
      <c r="E452" s="31">
        <v>0.22173223375291015</v>
      </c>
      <c r="F452" s="31">
        <v>4.2873051224944321E-3</v>
      </c>
      <c r="G452" s="31">
        <v>3.4608980827447013E-3</v>
      </c>
      <c r="H452" s="31">
        <v>4.2468288205598906E-2</v>
      </c>
      <c r="I452" s="31">
        <v>7.5965665236051494E-4</v>
      </c>
      <c r="J452" s="31">
        <v>3.0609392898052696E-3</v>
      </c>
      <c r="K452" s="31">
        <v>8.7375153751537513E-3</v>
      </c>
      <c r="L452" s="31">
        <v>9.5178773379730325E-3</v>
      </c>
      <c r="M452" s="31">
        <v>8.017015468607825E-3</v>
      </c>
      <c r="N452" s="31">
        <v>1.8028925081433226E-2</v>
      </c>
      <c r="O452" s="31">
        <v>7.6047486033519549E-3</v>
      </c>
      <c r="P452" s="31">
        <v>0</v>
      </c>
      <c r="Q452" s="32">
        <v>10.746291835719152</v>
      </c>
      <c r="R452" s="32">
        <v>3.0720400321853454</v>
      </c>
      <c r="S452" s="32">
        <v>45.806927174389863</v>
      </c>
      <c r="T452" s="32">
        <v>28.378052451841778</v>
      </c>
      <c r="U452" s="32">
        <v>3.9636231533058845</v>
      </c>
      <c r="V452" s="32">
        <v>3.0011201533337513</v>
      </c>
      <c r="W452" s="33">
        <v>0.29485714285714287</v>
      </c>
      <c r="X452" s="33">
        <v>-2.8057519400000039</v>
      </c>
    </row>
    <row r="453" spans="1:24" x14ac:dyDescent="0.15">
      <c r="A453" s="29" t="s">
        <v>415</v>
      </c>
      <c r="B453" s="30">
        <v>47.550615384615377</v>
      </c>
      <c r="C453" s="31">
        <v>7.6807269089696595E-2</v>
      </c>
      <c r="D453" s="31">
        <v>0.11823859087269813</v>
      </c>
      <c r="E453" s="31">
        <v>0.18317957621433931</v>
      </c>
      <c r="F453" s="31">
        <v>4.0129175946547893E-3</v>
      </c>
      <c r="G453" s="31">
        <v>2.3673057517658927E-3</v>
      </c>
      <c r="H453" s="31">
        <v>4.1326021110601192E-2</v>
      </c>
      <c r="I453" s="31">
        <v>5.407725321888413E-4</v>
      </c>
      <c r="J453" s="31">
        <v>2.9544100801832751E-3</v>
      </c>
      <c r="K453" s="31">
        <v>8.3020910209102086E-3</v>
      </c>
      <c r="L453" s="31">
        <v>9.1403653762505439E-3</v>
      </c>
      <c r="M453" s="31">
        <v>6.4323930846223844E-3</v>
      </c>
      <c r="N453" s="31">
        <v>1.9594006514657984E-2</v>
      </c>
      <c r="O453" s="31">
        <v>7.0670391061452521E-3</v>
      </c>
      <c r="P453" s="31">
        <v>0</v>
      </c>
      <c r="Q453" s="32">
        <v>9.556204798495548</v>
      </c>
      <c r="R453" s="32">
        <v>2.4365098318249228</v>
      </c>
      <c r="S453" s="32">
        <v>42.514477253746918</v>
      </c>
      <c r="T453" s="32">
        <v>36.346491694572457</v>
      </c>
      <c r="U453" s="32">
        <v>3.4286759888337941</v>
      </c>
      <c r="V453" s="32">
        <v>2.497250047131276</v>
      </c>
      <c r="W453" s="33">
        <v>0.17799999999999999</v>
      </c>
      <c r="X453" s="33">
        <v>-3.0654093571428547</v>
      </c>
    </row>
    <row r="454" spans="1:24" x14ac:dyDescent="0.15">
      <c r="A454" s="29" t="s">
        <v>416</v>
      </c>
      <c r="B454" s="30">
        <v>47.64</v>
      </c>
      <c r="C454" s="31">
        <v>8.9026897854840498E-2</v>
      </c>
      <c r="D454" s="31">
        <v>0.55673338670936745</v>
      </c>
      <c r="E454" s="31">
        <v>0.10453747911980957</v>
      </c>
      <c r="F454" s="31">
        <v>2.5135857461024503E-3</v>
      </c>
      <c r="G454" s="31">
        <v>5.4036326942482336E-4</v>
      </c>
      <c r="H454" s="31">
        <v>3.5783019733822863E-2</v>
      </c>
      <c r="I454" s="31">
        <v>2.8326180257510738E-4</v>
      </c>
      <c r="J454" s="31">
        <v>2.9970217640320732E-3</v>
      </c>
      <c r="K454" s="31">
        <v>1.0169577695776956E-2</v>
      </c>
      <c r="L454" s="31">
        <v>1.0215702479338843E-2</v>
      </c>
      <c r="M454" s="31">
        <v>3.8969972702456775E-3</v>
      </c>
      <c r="N454" s="31">
        <v>2.2358306188925082E-2</v>
      </c>
      <c r="O454" s="31">
        <v>3.9739292364990688E-3</v>
      </c>
      <c r="P454" s="31">
        <v>0</v>
      </c>
      <c r="Q454" s="32">
        <v>6.048093790164276</v>
      </c>
      <c r="R454" s="32">
        <v>1.4421911038110378</v>
      </c>
      <c r="S454" s="32">
        <v>28.542313311075834</v>
      </c>
      <c r="T454" s="32">
        <v>57.812368953284036</v>
      </c>
      <c r="U454" s="32">
        <v>2.7073266115154682</v>
      </c>
      <c r="V454" s="32">
        <v>1.5377449255325835</v>
      </c>
      <c r="W454" s="33">
        <v>1.1478888888888887</v>
      </c>
      <c r="X454" s="33">
        <v>-3.0475024800000021</v>
      </c>
    </row>
    <row r="5724" spans="23:24" x14ac:dyDescent="0.15">
      <c r="W5724" s="55"/>
      <c r="X5724" s="55"/>
    </row>
    <row r="5725" spans="23:24" x14ac:dyDescent="0.15">
      <c r="W5725" s="55"/>
      <c r="X5725" s="55"/>
    </row>
    <row r="5726" spans="23:24" x14ac:dyDescent="0.15">
      <c r="W5726" s="55"/>
      <c r="X5726" s="55"/>
    </row>
    <row r="5727" spans="23:24" x14ac:dyDescent="0.15">
      <c r="W5727" s="55"/>
      <c r="X5727" s="55"/>
    </row>
    <row r="5728" spans="23:24" x14ac:dyDescent="0.15">
      <c r="W5728" s="55"/>
      <c r="X5728" s="55"/>
    </row>
    <row r="5729" spans="23:24" x14ac:dyDescent="0.15">
      <c r="W5729" s="55"/>
      <c r="X5729" s="55"/>
    </row>
    <row r="5730" spans="23:24" x14ac:dyDescent="0.15">
      <c r="W5730" s="55"/>
      <c r="X5730" s="55"/>
    </row>
    <row r="5731" spans="23:24" x14ac:dyDescent="0.15">
      <c r="W5731" s="55"/>
      <c r="X5731" s="55"/>
    </row>
    <row r="5732" spans="23:24" x14ac:dyDescent="0.15">
      <c r="W5732" s="55"/>
      <c r="X5732" s="55"/>
    </row>
    <row r="5733" spans="23:24" x14ac:dyDescent="0.15">
      <c r="W5733" s="55"/>
      <c r="X5733" s="55"/>
    </row>
    <row r="5734" spans="23:24" x14ac:dyDescent="0.15">
      <c r="W5734" s="55"/>
      <c r="X5734" s="55"/>
    </row>
    <row r="5735" spans="23:24" x14ac:dyDescent="0.15">
      <c r="W5735" s="55"/>
      <c r="X5735" s="55"/>
    </row>
    <row r="5736" spans="23:24" x14ac:dyDescent="0.15">
      <c r="W5736" s="55"/>
      <c r="X5736" s="55"/>
    </row>
    <row r="5737" spans="23:24" x14ac:dyDescent="0.15">
      <c r="W5737" s="55"/>
      <c r="X5737" s="55"/>
    </row>
    <row r="5738" spans="23:24" x14ac:dyDescent="0.15">
      <c r="W5738" s="55"/>
      <c r="X5738" s="55"/>
    </row>
    <row r="5739" spans="23:24" x14ac:dyDescent="0.15">
      <c r="W5739" s="55"/>
      <c r="X5739" s="55"/>
    </row>
    <row r="5740" spans="23:24" x14ac:dyDescent="0.15">
      <c r="W5740" s="55"/>
      <c r="X5740" s="55"/>
    </row>
    <row r="5741" spans="23:24" x14ac:dyDescent="0.15">
      <c r="W5741" s="55"/>
      <c r="X5741" s="55"/>
    </row>
    <row r="5742" spans="23:24" x14ac:dyDescent="0.15">
      <c r="W5742" s="55"/>
      <c r="X5742" s="55"/>
    </row>
    <row r="5743" spans="23:24" x14ac:dyDescent="0.15">
      <c r="W5743" s="55"/>
      <c r="X5743" s="5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4C27-3C62-4A70-AFD2-22A19D3F80BA}">
  <dimension ref="A1:L306"/>
  <sheetViews>
    <sheetView tabSelected="1" zoomScaleNormal="100" workbookViewId="0"/>
  </sheetViews>
  <sheetFormatPr baseColWidth="10" defaultColWidth="9" defaultRowHeight="14" x14ac:dyDescent="0.2"/>
  <cols>
    <col min="1" max="1" width="11" style="35" customWidth="1"/>
    <col min="2" max="3" width="11" style="32" customWidth="1"/>
    <col min="4" max="6" width="11" style="67" customWidth="1"/>
    <col min="7" max="7" width="11" style="33" customWidth="1"/>
    <col min="8" max="8" width="12.6640625" style="66" bestFit="1" customWidth="1"/>
    <col min="9" max="9" width="17" style="35" bestFit="1" customWidth="1"/>
    <col min="10" max="16384" width="9" style="35"/>
  </cols>
  <sheetData>
    <row r="1" spans="1:12" s="29" customFormat="1" x14ac:dyDescent="0.15">
      <c r="A1" s="57" t="s">
        <v>454</v>
      </c>
      <c r="B1" s="58" t="s">
        <v>453</v>
      </c>
      <c r="C1" s="58" t="s">
        <v>502</v>
      </c>
      <c r="D1" s="59" t="s">
        <v>470</v>
      </c>
      <c r="E1" s="59" t="s">
        <v>472</v>
      </c>
      <c r="F1" s="59" t="s">
        <v>471</v>
      </c>
      <c r="G1" s="28" t="s">
        <v>456</v>
      </c>
      <c r="H1" s="60" t="s">
        <v>473</v>
      </c>
      <c r="I1" s="25" t="s">
        <v>474</v>
      </c>
    </row>
    <row r="2" spans="1:12" ht="15" x14ac:dyDescent="0.15">
      <c r="A2" s="61" t="s">
        <v>455</v>
      </c>
      <c r="B2" s="62">
        <v>0</v>
      </c>
      <c r="C2" s="63">
        <v>99.332277306918883</v>
      </c>
      <c r="D2" s="64">
        <v>-25</v>
      </c>
      <c r="E2" s="65" t="s">
        <v>476</v>
      </c>
      <c r="F2" s="65" t="s">
        <v>476</v>
      </c>
      <c r="G2" s="64" t="s">
        <v>476</v>
      </c>
      <c r="H2" s="66">
        <v>2.7</v>
      </c>
      <c r="I2" s="34" t="s">
        <v>475</v>
      </c>
      <c r="J2" s="33"/>
      <c r="K2" s="33"/>
      <c r="L2" s="33"/>
    </row>
    <row r="3" spans="1:12" ht="15" x14ac:dyDescent="0.15">
      <c r="A3" s="35" t="s">
        <v>417</v>
      </c>
      <c r="B3" s="32">
        <v>1.5</v>
      </c>
      <c r="C3" s="66">
        <v>99.232223454157804</v>
      </c>
      <c r="D3" s="33">
        <v>-24.5</v>
      </c>
      <c r="E3" s="65" t="s">
        <v>476</v>
      </c>
      <c r="F3" s="65" t="s">
        <v>476</v>
      </c>
      <c r="G3" s="64" t="s">
        <v>476</v>
      </c>
      <c r="H3" s="66">
        <v>2.5</v>
      </c>
      <c r="I3" s="34" t="s">
        <v>475</v>
      </c>
      <c r="J3" s="33"/>
    </row>
    <row r="4" spans="1:12" ht="15" x14ac:dyDescent="0.15">
      <c r="A4" s="35" t="s">
        <v>418</v>
      </c>
      <c r="B4" s="32">
        <v>3</v>
      </c>
      <c r="C4" s="66">
        <v>95.736423027905914</v>
      </c>
      <c r="D4" s="33">
        <v>-24.4</v>
      </c>
      <c r="E4" s="65" t="s">
        <v>476</v>
      </c>
      <c r="F4" s="65" t="s">
        <v>476</v>
      </c>
      <c r="G4" s="64" t="s">
        <v>476</v>
      </c>
      <c r="H4" s="66">
        <v>4.7</v>
      </c>
      <c r="I4" s="34" t="s">
        <v>475</v>
      </c>
      <c r="J4" s="33"/>
    </row>
    <row r="5" spans="1:12" x14ac:dyDescent="0.2">
      <c r="A5" s="35" t="s">
        <v>419</v>
      </c>
      <c r="B5" s="32">
        <v>4</v>
      </c>
      <c r="C5" s="66">
        <v>91.450997066691258</v>
      </c>
      <c r="D5" s="33">
        <v>-24.9</v>
      </c>
      <c r="E5" s="67">
        <v>7.0000000000000007E-2</v>
      </c>
      <c r="F5" s="67">
        <v>1.32</v>
      </c>
      <c r="G5" s="33">
        <v>18.899999999999999</v>
      </c>
      <c r="H5" s="66">
        <v>1.1000000000000001</v>
      </c>
      <c r="I5" s="36"/>
      <c r="J5" s="33"/>
    </row>
    <row r="6" spans="1:12" x14ac:dyDescent="0.2">
      <c r="A6" s="35" t="s">
        <v>420</v>
      </c>
      <c r="B6" s="32">
        <v>4.0413249999999996</v>
      </c>
      <c r="C6" s="66">
        <v>84.69271349052589</v>
      </c>
      <c r="D6" s="33">
        <v>-25.5</v>
      </c>
      <c r="E6" s="67">
        <v>0.04</v>
      </c>
      <c r="F6" s="67">
        <v>0.67</v>
      </c>
      <c r="G6" s="33">
        <v>16.8</v>
      </c>
      <c r="H6" s="66">
        <v>3.2</v>
      </c>
      <c r="I6" s="36"/>
      <c r="J6" s="33"/>
    </row>
    <row r="7" spans="1:12" x14ac:dyDescent="0.2">
      <c r="A7" s="35" t="s">
        <v>421</v>
      </c>
      <c r="B7" s="32">
        <v>4.1283249999999994</v>
      </c>
      <c r="C7" s="66">
        <v>64.057805994037324</v>
      </c>
      <c r="D7" s="33">
        <v>-25.5</v>
      </c>
      <c r="E7" s="67">
        <v>0.04</v>
      </c>
      <c r="F7" s="67">
        <v>0.22</v>
      </c>
      <c r="G7" s="33">
        <v>5.5</v>
      </c>
      <c r="H7" s="66">
        <v>2.5</v>
      </c>
      <c r="I7" s="36"/>
      <c r="J7" s="33"/>
    </row>
    <row r="8" spans="1:12" x14ac:dyDescent="0.2">
      <c r="A8" s="35" t="s">
        <v>422</v>
      </c>
      <c r="B8" s="32">
        <v>4.3023249999999997</v>
      </c>
      <c r="C8" s="66">
        <v>73.694096456828319</v>
      </c>
      <c r="D8" s="33">
        <v>-25.4</v>
      </c>
      <c r="E8" s="67">
        <v>0.05</v>
      </c>
      <c r="F8" s="67">
        <v>0.35</v>
      </c>
      <c r="G8" s="33">
        <v>7</v>
      </c>
      <c r="H8" s="66">
        <v>3.8</v>
      </c>
      <c r="I8" s="36"/>
      <c r="J8" s="33"/>
    </row>
    <row r="9" spans="1:12" x14ac:dyDescent="0.2">
      <c r="A9" s="35" t="s">
        <v>423</v>
      </c>
      <c r="B9" s="32">
        <v>4.3893249999999995</v>
      </c>
      <c r="C9" s="66">
        <v>70.832121582444131</v>
      </c>
      <c r="D9" s="33">
        <v>-25.3</v>
      </c>
      <c r="E9" s="67">
        <v>0.04</v>
      </c>
      <c r="F9" s="67">
        <v>0.37</v>
      </c>
      <c r="G9" s="33">
        <v>9.3000000000000007</v>
      </c>
      <c r="H9" s="66">
        <v>4.9000000000000004</v>
      </c>
      <c r="I9" s="36"/>
      <c r="J9" s="33"/>
    </row>
    <row r="10" spans="1:12" x14ac:dyDescent="0.2">
      <c r="A10" s="35" t="s">
        <v>424</v>
      </c>
      <c r="B10" s="32">
        <v>4.4763249999999992</v>
      </c>
      <c r="C10" s="66">
        <v>57.849760247366902</v>
      </c>
      <c r="D10" s="33">
        <v>-25.9</v>
      </c>
      <c r="E10" s="67">
        <v>0.05</v>
      </c>
      <c r="F10" s="67">
        <v>0.46</v>
      </c>
      <c r="G10" s="33">
        <v>9.1999999999999993</v>
      </c>
      <c r="H10" s="66">
        <v>6.4</v>
      </c>
      <c r="I10" s="36"/>
      <c r="J10" s="33"/>
    </row>
    <row r="11" spans="1:12" x14ac:dyDescent="0.2">
      <c r="A11" s="35" t="s">
        <v>425</v>
      </c>
      <c r="B11" s="32">
        <v>4.5633249999999999</v>
      </c>
      <c r="C11" s="66">
        <v>55.987987100627059</v>
      </c>
      <c r="D11" s="33">
        <v>-25.8</v>
      </c>
      <c r="E11" s="67">
        <v>0.05</v>
      </c>
      <c r="F11" s="67">
        <v>0.39</v>
      </c>
      <c r="G11" s="33">
        <v>7.8</v>
      </c>
      <c r="H11" s="66">
        <v>4.5</v>
      </c>
      <c r="I11" s="36"/>
      <c r="J11" s="33"/>
    </row>
    <row r="12" spans="1:12" x14ac:dyDescent="0.2">
      <c r="A12" s="35" t="s">
        <v>426</v>
      </c>
      <c r="B12" s="32">
        <v>4.6503249999999996</v>
      </c>
      <c r="C12" s="66">
        <v>57.036777543557733</v>
      </c>
      <c r="D12" s="33">
        <v>-26</v>
      </c>
      <c r="E12" s="67">
        <v>0.06</v>
      </c>
      <c r="F12" s="67">
        <v>0.66</v>
      </c>
      <c r="G12" s="33">
        <v>11</v>
      </c>
      <c r="H12" s="66">
        <v>5.5</v>
      </c>
      <c r="I12" s="36"/>
      <c r="J12" s="33"/>
    </row>
    <row r="13" spans="1:12" x14ac:dyDescent="0.2">
      <c r="A13" s="35" t="s">
        <v>427</v>
      </c>
      <c r="B13" s="32">
        <v>4.7373249999999993</v>
      </c>
      <c r="C13" s="66">
        <v>54.748395512820522</v>
      </c>
      <c r="D13" s="33">
        <v>-25.7</v>
      </c>
      <c r="E13" s="67">
        <v>0.05</v>
      </c>
      <c r="F13" s="67">
        <v>0.35</v>
      </c>
      <c r="G13" s="33">
        <v>7</v>
      </c>
      <c r="H13" s="66">
        <v>5.4</v>
      </c>
      <c r="I13" s="36"/>
      <c r="J13" s="33"/>
    </row>
    <row r="14" spans="1:12" x14ac:dyDescent="0.2">
      <c r="A14" s="35" t="s">
        <v>428</v>
      </c>
      <c r="B14" s="32">
        <v>4.8243249999999991</v>
      </c>
      <c r="C14" s="66">
        <v>49.178602789720081</v>
      </c>
      <c r="D14" s="33">
        <v>-25.4</v>
      </c>
      <c r="E14" s="67">
        <v>0.05</v>
      </c>
      <c r="F14" s="67">
        <v>0.37</v>
      </c>
      <c r="G14" s="33">
        <v>7.4</v>
      </c>
      <c r="H14" s="66">
        <v>7.7</v>
      </c>
      <c r="I14" s="36"/>
      <c r="J14" s="33"/>
    </row>
    <row r="15" spans="1:12" x14ac:dyDescent="0.2">
      <c r="A15" s="35" t="s">
        <v>429</v>
      </c>
      <c r="B15" s="32">
        <v>4.9113249999999997</v>
      </c>
      <c r="C15" s="66">
        <v>55.570531465819094</v>
      </c>
      <c r="D15" s="33">
        <v>-25.3</v>
      </c>
      <c r="E15" s="67">
        <v>0.05</v>
      </c>
      <c r="F15" s="67">
        <v>0.27</v>
      </c>
      <c r="G15" s="33">
        <v>5.4</v>
      </c>
      <c r="H15" s="66">
        <v>2.8</v>
      </c>
      <c r="I15" s="36"/>
      <c r="J15" s="33"/>
    </row>
    <row r="16" spans="1:12" x14ac:dyDescent="0.2">
      <c r="A16" s="35" t="s">
        <v>430</v>
      </c>
      <c r="B16" s="32">
        <v>4.9983249999999995</v>
      </c>
      <c r="C16" s="66">
        <v>61.040688854727122</v>
      </c>
      <c r="D16" s="33">
        <v>-25.2</v>
      </c>
      <c r="E16" s="67">
        <v>0.05</v>
      </c>
      <c r="F16" s="67">
        <v>0.22</v>
      </c>
      <c r="G16" s="33">
        <v>4.4000000000000004</v>
      </c>
      <c r="H16" s="66">
        <v>5.0999999999999996</v>
      </c>
      <c r="I16" s="36"/>
      <c r="J16" s="33"/>
    </row>
    <row r="17" spans="1:10" x14ac:dyDescent="0.2">
      <c r="A17" s="35" t="s">
        <v>431</v>
      </c>
      <c r="B17" s="32">
        <v>5.0853250000000001</v>
      </c>
      <c r="C17" s="66">
        <v>53.135954756050218</v>
      </c>
      <c r="D17" s="33">
        <v>-25.3</v>
      </c>
      <c r="E17" s="67">
        <v>0.06</v>
      </c>
      <c r="F17" s="67">
        <v>0.45</v>
      </c>
      <c r="G17" s="33">
        <v>7.5</v>
      </c>
      <c r="H17" s="66">
        <v>6.3</v>
      </c>
      <c r="I17" s="36"/>
      <c r="J17" s="33"/>
    </row>
    <row r="18" spans="1:10" x14ac:dyDescent="0.2">
      <c r="A18" s="35" t="s">
        <v>432</v>
      </c>
      <c r="B18" s="32">
        <v>5.1723249999999998</v>
      </c>
      <c r="C18" s="66">
        <v>59.509192986798688</v>
      </c>
      <c r="D18" s="33">
        <v>-24.9</v>
      </c>
      <c r="E18" s="67">
        <v>0.05</v>
      </c>
      <c r="F18" s="67">
        <v>0.35</v>
      </c>
      <c r="G18" s="33">
        <v>7</v>
      </c>
      <c r="H18" s="66">
        <v>8.6</v>
      </c>
      <c r="I18" s="36"/>
      <c r="J18" s="33"/>
    </row>
    <row r="19" spans="1:10" x14ac:dyDescent="0.2">
      <c r="A19" s="35" t="s">
        <v>433</v>
      </c>
      <c r="B19" s="32">
        <v>5.2593249999999996</v>
      </c>
      <c r="C19" s="66">
        <v>69.215110973467688</v>
      </c>
      <c r="D19" s="33">
        <v>-24.9</v>
      </c>
      <c r="E19" s="67">
        <v>0.05</v>
      </c>
      <c r="F19" s="67">
        <v>0.28000000000000003</v>
      </c>
      <c r="G19" s="33">
        <v>5.6</v>
      </c>
      <c r="H19" s="66">
        <v>5.4</v>
      </c>
      <c r="I19" s="36"/>
      <c r="J19" s="33"/>
    </row>
    <row r="20" spans="1:10" x14ac:dyDescent="0.2">
      <c r="A20" s="35" t="s">
        <v>434</v>
      </c>
      <c r="B20" s="32">
        <v>5.3463249999999993</v>
      </c>
      <c r="C20" s="66">
        <v>43.290522024683348</v>
      </c>
      <c r="D20" s="33">
        <v>-25.1</v>
      </c>
      <c r="E20" s="67">
        <v>0.05</v>
      </c>
      <c r="F20" s="67">
        <v>0.24</v>
      </c>
      <c r="G20" s="33">
        <v>4.8</v>
      </c>
      <c r="H20" s="66">
        <v>6.1</v>
      </c>
      <c r="I20" s="36"/>
      <c r="J20" s="33"/>
    </row>
    <row r="21" spans="1:10" x14ac:dyDescent="0.2">
      <c r="A21" s="35" t="s">
        <v>435</v>
      </c>
      <c r="B21" s="32">
        <v>5.433325</v>
      </c>
      <c r="C21" s="66">
        <v>66.613915242788309</v>
      </c>
      <c r="D21" s="33">
        <v>-24.9</v>
      </c>
      <c r="E21" s="67">
        <v>0.06</v>
      </c>
      <c r="F21" s="67">
        <v>0.24</v>
      </c>
      <c r="G21" s="33">
        <v>4</v>
      </c>
      <c r="H21" s="66">
        <v>3.7</v>
      </c>
      <c r="I21" s="36"/>
      <c r="J21" s="33"/>
    </row>
    <row r="22" spans="1:10" x14ac:dyDescent="0.2">
      <c r="A22" s="35" t="s">
        <v>436</v>
      </c>
      <c r="B22" s="32">
        <v>5.5203249999999997</v>
      </c>
      <c r="C22" s="66">
        <v>63.335029260585614</v>
      </c>
      <c r="D22" s="33">
        <v>-24.4</v>
      </c>
      <c r="E22" s="67">
        <v>0.03</v>
      </c>
      <c r="F22" s="67">
        <v>0.2</v>
      </c>
      <c r="G22" s="33">
        <v>6.7</v>
      </c>
      <c r="H22" s="66">
        <v>1.9</v>
      </c>
      <c r="I22" s="36"/>
      <c r="J22" s="33"/>
    </row>
    <row r="23" spans="1:10" x14ac:dyDescent="0.2">
      <c r="A23" s="35" t="s">
        <v>437</v>
      </c>
      <c r="B23" s="32">
        <v>5.6073250000000003</v>
      </c>
      <c r="C23" s="66">
        <v>58.316135719687438</v>
      </c>
      <c r="D23" s="33">
        <v>-24.9</v>
      </c>
      <c r="E23" s="67">
        <v>0.06</v>
      </c>
      <c r="F23" s="67">
        <v>0.37</v>
      </c>
      <c r="G23" s="33">
        <v>6.2</v>
      </c>
      <c r="H23" s="66">
        <v>1.3</v>
      </c>
      <c r="I23" s="36"/>
      <c r="J23" s="33"/>
    </row>
    <row r="24" spans="1:10" x14ac:dyDescent="0.2">
      <c r="A24" s="35" t="s">
        <v>438</v>
      </c>
      <c r="B24" s="32">
        <v>5.6943250000000001</v>
      </c>
      <c r="C24" s="66">
        <v>52.36881342481783</v>
      </c>
      <c r="D24" s="33">
        <v>-24.5</v>
      </c>
      <c r="E24" s="67">
        <v>7.0000000000000007E-2</v>
      </c>
      <c r="F24" s="67">
        <v>0.28999999999999998</v>
      </c>
      <c r="G24" s="33">
        <v>4.0999999999999996</v>
      </c>
      <c r="H24" s="66">
        <v>1.2</v>
      </c>
      <c r="I24" s="36"/>
      <c r="J24" s="33"/>
    </row>
    <row r="25" spans="1:10" x14ac:dyDescent="0.2">
      <c r="A25" s="35" t="s">
        <v>439</v>
      </c>
      <c r="B25" s="32">
        <v>5.7640930232558141</v>
      </c>
      <c r="C25" s="66">
        <v>75.417772469228822</v>
      </c>
      <c r="D25" s="33">
        <v>-25</v>
      </c>
      <c r="E25" s="67">
        <v>0.04</v>
      </c>
      <c r="F25" s="67">
        <v>0.34</v>
      </c>
      <c r="G25" s="33">
        <v>8.5</v>
      </c>
      <c r="H25" s="66">
        <v>1.2</v>
      </c>
      <c r="I25" s="36"/>
      <c r="J25" s="33"/>
    </row>
    <row r="26" spans="1:10" x14ac:dyDescent="0.2">
      <c r="A26" s="35" t="s">
        <v>440</v>
      </c>
      <c r="B26" s="32">
        <v>6.0091699463327375</v>
      </c>
      <c r="C26" s="66">
        <v>72.272630578976958</v>
      </c>
      <c r="D26" s="33">
        <v>-24.9</v>
      </c>
      <c r="E26" s="67">
        <v>0.05</v>
      </c>
      <c r="F26" s="67">
        <v>0.37</v>
      </c>
      <c r="G26" s="33">
        <v>7.4</v>
      </c>
      <c r="H26" s="66">
        <v>1.2</v>
      </c>
      <c r="I26" s="36"/>
      <c r="J26" s="33"/>
    </row>
    <row r="27" spans="1:10" x14ac:dyDescent="0.2">
      <c r="A27" s="35" t="s">
        <v>441</v>
      </c>
      <c r="B27" s="32">
        <v>6.25424686940966</v>
      </c>
      <c r="C27" s="66">
        <v>73.195009208515856</v>
      </c>
      <c r="D27" s="33">
        <v>-24</v>
      </c>
      <c r="E27" s="67">
        <v>0.06</v>
      </c>
      <c r="F27" s="67">
        <v>0.35</v>
      </c>
      <c r="G27" s="33">
        <v>5.8</v>
      </c>
      <c r="H27" s="66">
        <v>2.8</v>
      </c>
      <c r="I27" s="36"/>
      <c r="J27" s="33"/>
    </row>
    <row r="28" spans="1:10" x14ac:dyDescent="0.2">
      <c r="A28" s="35" t="s">
        <v>442</v>
      </c>
      <c r="B28" s="32">
        <v>6.4993237924865834</v>
      </c>
      <c r="C28" s="66">
        <v>78.338504982385487</v>
      </c>
      <c r="D28" s="33">
        <v>-24.6</v>
      </c>
      <c r="E28" s="67">
        <v>0.05</v>
      </c>
      <c r="F28" s="67">
        <v>0.4</v>
      </c>
      <c r="G28" s="33">
        <v>8</v>
      </c>
      <c r="H28" s="66">
        <v>2.6</v>
      </c>
      <c r="I28" s="36"/>
      <c r="J28" s="33"/>
    </row>
    <row r="29" spans="1:10" x14ac:dyDescent="0.2">
      <c r="A29" s="35" t="s">
        <v>443</v>
      </c>
      <c r="B29" s="32">
        <v>6.7444007155635068</v>
      </c>
      <c r="C29" s="66">
        <v>74.311570921403643</v>
      </c>
      <c r="D29" s="33">
        <v>-24.6</v>
      </c>
      <c r="E29" s="67">
        <v>0.04</v>
      </c>
      <c r="F29" s="67">
        <v>0.38</v>
      </c>
      <c r="G29" s="33">
        <v>9.5</v>
      </c>
      <c r="H29" s="66">
        <v>4.9000000000000004</v>
      </c>
      <c r="I29" s="36"/>
      <c r="J29" s="33"/>
    </row>
    <row r="30" spans="1:10" x14ac:dyDescent="0.2">
      <c r="A30" s="35" t="s">
        <v>444</v>
      </c>
      <c r="B30" s="32">
        <v>6.9894776386404294</v>
      </c>
      <c r="C30" s="66">
        <v>67.411828382441371</v>
      </c>
      <c r="D30" s="33">
        <v>-24.3</v>
      </c>
      <c r="E30" s="67">
        <v>0.06</v>
      </c>
      <c r="F30" s="67">
        <v>0.33</v>
      </c>
      <c r="G30" s="33">
        <v>5.5</v>
      </c>
      <c r="H30" s="66">
        <v>2.4</v>
      </c>
      <c r="I30" s="36"/>
      <c r="J30" s="33"/>
    </row>
    <row r="31" spans="1:10" x14ac:dyDescent="0.2">
      <c r="A31" s="35" t="s">
        <v>445</v>
      </c>
      <c r="B31" s="32">
        <v>7.2345545617173519</v>
      </c>
      <c r="C31" s="66">
        <v>74.538993967280163</v>
      </c>
      <c r="D31" s="33">
        <v>-24.2</v>
      </c>
      <c r="E31" s="67">
        <v>0.06</v>
      </c>
      <c r="F31" s="67">
        <v>0.35</v>
      </c>
      <c r="G31" s="33">
        <v>5.8</v>
      </c>
      <c r="H31" s="66">
        <v>3.1</v>
      </c>
      <c r="I31" s="36"/>
      <c r="J31" s="33"/>
    </row>
    <row r="32" spans="1:10" x14ac:dyDescent="0.2">
      <c r="A32" s="35" t="s">
        <v>446</v>
      </c>
      <c r="B32" s="32">
        <v>7.4796314847942753</v>
      </c>
      <c r="C32" s="66">
        <v>70.315861564219105</v>
      </c>
      <c r="D32" s="33">
        <v>-24.6</v>
      </c>
      <c r="E32" s="67">
        <v>0.03</v>
      </c>
      <c r="F32" s="67">
        <v>0.25</v>
      </c>
      <c r="G32" s="33">
        <v>8.3000000000000007</v>
      </c>
      <c r="H32" s="66">
        <v>1.9</v>
      </c>
      <c r="I32" s="36"/>
      <c r="J32" s="33"/>
    </row>
    <row r="33" spans="1:10" x14ac:dyDescent="0.2">
      <c r="A33" s="35" t="s">
        <v>447</v>
      </c>
      <c r="B33" s="32">
        <v>7.7247084078711987</v>
      </c>
      <c r="C33" s="66">
        <v>70.490875772148115</v>
      </c>
      <c r="D33" s="33">
        <v>-24.2</v>
      </c>
      <c r="E33" s="67">
        <v>0.05</v>
      </c>
      <c r="F33" s="67">
        <v>0.2</v>
      </c>
      <c r="G33" s="33">
        <v>4</v>
      </c>
      <c r="H33" s="66">
        <v>2.1</v>
      </c>
      <c r="I33" s="36"/>
      <c r="J33" s="33"/>
    </row>
    <row r="34" spans="1:10" x14ac:dyDescent="0.2">
      <c r="A34" s="35" t="s">
        <v>448</v>
      </c>
      <c r="B34" s="32">
        <v>7.9697853309481212</v>
      </c>
      <c r="C34" s="66">
        <v>72.467288905149545</v>
      </c>
      <c r="D34" s="33">
        <v>-24.6</v>
      </c>
      <c r="E34" s="67">
        <v>0.05</v>
      </c>
      <c r="F34" s="67">
        <v>0.25</v>
      </c>
      <c r="G34" s="33">
        <v>5</v>
      </c>
      <c r="H34" s="66">
        <v>2.2000000000000002</v>
      </c>
      <c r="I34" s="36"/>
      <c r="J34" s="33"/>
    </row>
    <row r="35" spans="1:10" x14ac:dyDescent="0.2">
      <c r="A35" s="35" t="s">
        <v>449</v>
      </c>
      <c r="B35" s="32">
        <v>8.2148622540250447</v>
      </c>
      <c r="C35" s="66">
        <v>66.361732283599324</v>
      </c>
      <c r="D35" s="33">
        <v>-24.6</v>
      </c>
      <c r="E35" s="67">
        <v>0.06</v>
      </c>
      <c r="F35" s="67">
        <v>0.36</v>
      </c>
      <c r="G35" s="33">
        <v>6</v>
      </c>
      <c r="H35" s="66">
        <v>2.9</v>
      </c>
      <c r="I35" s="36"/>
      <c r="J35" s="33"/>
    </row>
    <row r="36" spans="1:10" x14ac:dyDescent="0.2">
      <c r="A36" s="35" t="s">
        <v>450</v>
      </c>
      <c r="B36" s="32">
        <v>8.459939177101969</v>
      </c>
      <c r="C36" s="66">
        <v>68.539959347582908</v>
      </c>
      <c r="D36" s="33">
        <v>-23.8</v>
      </c>
      <c r="E36" s="67">
        <v>0.05</v>
      </c>
      <c r="F36" s="67">
        <v>0.28000000000000003</v>
      </c>
      <c r="G36" s="33">
        <v>5.6</v>
      </c>
      <c r="H36" s="66">
        <v>2.2999999999999998</v>
      </c>
      <c r="I36" s="36"/>
      <c r="J36" s="33"/>
    </row>
    <row r="37" spans="1:10" x14ac:dyDescent="0.2">
      <c r="A37" s="35" t="s">
        <v>451</v>
      </c>
      <c r="B37" s="32">
        <v>8.7050161001788915</v>
      </c>
      <c r="C37" s="66">
        <v>63.816173419964585</v>
      </c>
      <c r="D37" s="33">
        <v>-24.2</v>
      </c>
      <c r="E37" s="67">
        <v>0.04</v>
      </c>
      <c r="F37" s="67">
        <v>0.19</v>
      </c>
      <c r="G37" s="33">
        <v>4.8</v>
      </c>
      <c r="H37" s="66">
        <v>1.5</v>
      </c>
      <c r="I37" s="36"/>
      <c r="J37" s="33"/>
    </row>
    <row r="38" spans="1:10" x14ac:dyDescent="0.2">
      <c r="A38" s="35" t="s">
        <v>452</v>
      </c>
      <c r="B38" s="32">
        <v>8.9500930232558158</v>
      </c>
      <c r="C38" s="66">
        <v>74.325280007323286</v>
      </c>
      <c r="D38" s="33">
        <v>-24</v>
      </c>
      <c r="E38" s="67">
        <v>0.04</v>
      </c>
      <c r="F38" s="67">
        <v>0.26</v>
      </c>
      <c r="G38" s="33">
        <v>6.5</v>
      </c>
      <c r="H38" s="66">
        <v>2.6</v>
      </c>
      <c r="I38" s="36"/>
      <c r="J38" s="33"/>
    </row>
    <row r="39" spans="1:10" x14ac:dyDescent="0.2">
      <c r="A39" s="35" t="s">
        <v>0</v>
      </c>
      <c r="B39" s="32">
        <v>8.9868699999999997</v>
      </c>
      <c r="C39" s="66">
        <v>13.696103366583515</v>
      </c>
      <c r="D39" s="33">
        <v>-24.3</v>
      </c>
      <c r="E39" s="67">
        <v>0.04</v>
      </c>
      <c r="F39" s="67">
        <v>0.06</v>
      </c>
      <c r="G39" s="33">
        <v>1.5</v>
      </c>
      <c r="H39" s="66">
        <v>2</v>
      </c>
      <c r="J39" s="33"/>
    </row>
    <row r="40" spans="1:10" x14ac:dyDescent="0.2">
      <c r="A40" s="35" t="s">
        <v>1</v>
      </c>
      <c r="B40" s="32">
        <v>9.0790449999999989</v>
      </c>
      <c r="C40" s="66">
        <v>33.560071737416479</v>
      </c>
      <c r="D40" s="33">
        <v>-24.4</v>
      </c>
      <c r="E40" s="67">
        <v>0.06</v>
      </c>
      <c r="F40" s="67">
        <v>0.08</v>
      </c>
      <c r="G40" s="33">
        <v>1.3</v>
      </c>
      <c r="H40" s="66">
        <v>1.2</v>
      </c>
      <c r="J40" s="33"/>
    </row>
    <row r="41" spans="1:10" x14ac:dyDescent="0.2">
      <c r="A41" s="35" t="s">
        <v>2</v>
      </c>
      <c r="B41" s="32">
        <v>9.1712199999999999</v>
      </c>
      <c r="C41" s="66">
        <v>14.691943788899788</v>
      </c>
      <c r="D41" s="33">
        <v>-25.5</v>
      </c>
      <c r="E41" s="67">
        <v>0.03</v>
      </c>
      <c r="F41" s="67">
        <v>7.0000000000000007E-2</v>
      </c>
      <c r="G41" s="33">
        <v>2.2999999999999998</v>
      </c>
      <c r="H41" s="66">
        <v>2.5</v>
      </c>
      <c r="J41" s="33"/>
    </row>
    <row r="42" spans="1:10" x14ac:dyDescent="0.2">
      <c r="A42" s="35" t="s">
        <v>3</v>
      </c>
      <c r="B42" s="32">
        <v>9.2633949999999992</v>
      </c>
      <c r="C42" s="66">
        <v>18.139988274438796</v>
      </c>
      <c r="D42" s="33">
        <v>-25.6</v>
      </c>
      <c r="E42" s="67">
        <v>0.05</v>
      </c>
      <c r="F42" s="67">
        <v>7.0000000000000007E-2</v>
      </c>
      <c r="G42" s="33">
        <v>1.4</v>
      </c>
      <c r="H42" s="66">
        <v>1.1000000000000001</v>
      </c>
      <c r="J42" s="33"/>
    </row>
    <row r="43" spans="1:10" x14ac:dyDescent="0.2">
      <c r="A43" s="35" t="s">
        <v>4</v>
      </c>
      <c r="B43" s="32">
        <v>9.3555700000000002</v>
      </c>
      <c r="C43" s="66">
        <v>15.654107648665715</v>
      </c>
      <c r="D43" s="33">
        <v>-25.2</v>
      </c>
      <c r="E43" s="67">
        <v>0.03</v>
      </c>
      <c r="F43" s="67">
        <v>0.06</v>
      </c>
      <c r="G43" s="33">
        <v>2</v>
      </c>
      <c r="H43" s="66">
        <v>1.1000000000000001</v>
      </c>
      <c r="J43" s="33"/>
    </row>
    <row r="44" spans="1:10" x14ac:dyDescent="0.2">
      <c r="A44" s="35" t="s">
        <v>5</v>
      </c>
      <c r="B44" s="32">
        <v>9.4477449999999994</v>
      </c>
      <c r="C44" s="66">
        <v>13.864855521213837</v>
      </c>
      <c r="D44" s="33">
        <v>-24.7</v>
      </c>
      <c r="E44" s="67">
        <v>0.04</v>
      </c>
      <c r="F44" s="67">
        <v>0.06</v>
      </c>
      <c r="G44" s="33">
        <v>1.5</v>
      </c>
      <c r="H44" s="66">
        <v>2.4</v>
      </c>
      <c r="J44" s="33"/>
    </row>
    <row r="45" spans="1:10" x14ac:dyDescent="0.2">
      <c r="A45" s="35" t="s">
        <v>6</v>
      </c>
      <c r="B45" s="32">
        <v>9.5399200000000004</v>
      </c>
      <c r="C45" s="66">
        <v>15.322438730522713</v>
      </c>
      <c r="D45" s="33">
        <v>-25.1</v>
      </c>
      <c r="E45" s="67">
        <v>0.04</v>
      </c>
      <c r="F45" s="67">
        <v>7.0000000000000007E-2</v>
      </c>
      <c r="G45" s="33">
        <v>1.8</v>
      </c>
      <c r="H45" s="66">
        <v>0.8</v>
      </c>
      <c r="J45" s="33"/>
    </row>
    <row r="46" spans="1:10" x14ac:dyDescent="0.2">
      <c r="A46" s="35" t="s">
        <v>7</v>
      </c>
      <c r="B46" s="32">
        <v>9.6320949999999996</v>
      </c>
      <c r="C46" s="66">
        <v>12.326673484848541</v>
      </c>
      <c r="D46" s="33">
        <v>-25</v>
      </c>
      <c r="E46" s="67">
        <v>0.03</v>
      </c>
      <c r="F46" s="67">
        <v>7.0000000000000007E-2</v>
      </c>
      <c r="G46" s="33">
        <v>2.2999999999999998</v>
      </c>
      <c r="H46" s="66">
        <v>0.8</v>
      </c>
      <c r="J46" s="33"/>
    </row>
    <row r="47" spans="1:10" x14ac:dyDescent="0.2">
      <c r="A47" s="35" t="s">
        <v>8</v>
      </c>
      <c r="B47" s="32">
        <v>9.7242699999999989</v>
      </c>
      <c r="C47" s="66">
        <v>11.638173180076617</v>
      </c>
      <c r="D47" s="33">
        <v>-24.5</v>
      </c>
      <c r="E47" s="67">
        <v>0.06</v>
      </c>
      <c r="F47" s="67">
        <v>0.12</v>
      </c>
      <c r="G47" s="33">
        <v>2</v>
      </c>
      <c r="H47" s="66">
        <v>8</v>
      </c>
      <c r="J47" s="33"/>
    </row>
    <row r="48" spans="1:10" x14ac:dyDescent="0.2">
      <c r="A48" s="35" t="s">
        <v>9</v>
      </c>
      <c r="B48" s="32">
        <v>9.8164449999999999</v>
      </c>
      <c r="C48" s="66">
        <v>10.737431600156732</v>
      </c>
      <c r="D48" s="33">
        <v>-24.6</v>
      </c>
      <c r="E48" s="67">
        <v>0.03</v>
      </c>
      <c r="F48" s="67">
        <v>0.08</v>
      </c>
      <c r="G48" s="33">
        <v>2.7</v>
      </c>
      <c r="H48" s="66">
        <v>2.8</v>
      </c>
      <c r="J48" s="33"/>
    </row>
    <row r="49" spans="1:10" x14ac:dyDescent="0.2">
      <c r="A49" s="35" t="s">
        <v>10</v>
      </c>
      <c r="B49" s="32">
        <v>9.9086199999999991</v>
      </c>
      <c r="C49" s="66">
        <v>16.17323550692279</v>
      </c>
      <c r="D49" s="33">
        <v>-25</v>
      </c>
      <c r="E49" s="67">
        <v>0.04</v>
      </c>
      <c r="F49" s="67">
        <v>0.08</v>
      </c>
      <c r="G49" s="33">
        <v>2</v>
      </c>
      <c r="H49" s="66">
        <v>4</v>
      </c>
      <c r="J49" s="33"/>
    </row>
    <row r="50" spans="1:10" x14ac:dyDescent="0.2">
      <c r="A50" s="35" t="s">
        <v>11</v>
      </c>
      <c r="B50" s="32">
        <v>10.000795</v>
      </c>
      <c r="C50" s="66">
        <v>16.902568901368909</v>
      </c>
      <c r="D50" s="33">
        <v>-24.9</v>
      </c>
      <c r="E50" s="67">
        <v>0.05</v>
      </c>
      <c r="F50" s="67">
        <v>0.09</v>
      </c>
      <c r="G50" s="33">
        <v>1.8</v>
      </c>
      <c r="H50" s="66">
        <v>2.5</v>
      </c>
      <c r="J50" s="33"/>
    </row>
    <row r="51" spans="1:10" x14ac:dyDescent="0.2">
      <c r="A51" s="35" t="s">
        <v>12</v>
      </c>
      <c r="B51" s="32">
        <v>10.092969999999999</v>
      </c>
      <c r="C51" s="66">
        <v>15.389619380094842</v>
      </c>
      <c r="D51" s="33">
        <v>-25.1</v>
      </c>
      <c r="E51" s="67">
        <v>0.03</v>
      </c>
      <c r="F51" s="67">
        <v>0.08</v>
      </c>
      <c r="G51" s="33">
        <v>2.7</v>
      </c>
      <c r="H51" s="66">
        <v>4.5</v>
      </c>
      <c r="J51" s="33"/>
    </row>
    <row r="52" spans="1:10" x14ac:dyDescent="0.2">
      <c r="A52" s="35" t="s">
        <v>13</v>
      </c>
      <c r="B52" s="32">
        <v>10.185145</v>
      </c>
      <c r="C52" s="66">
        <v>15.547720403914198</v>
      </c>
      <c r="D52" s="33">
        <v>-25.3</v>
      </c>
      <c r="E52" s="67">
        <v>0.05</v>
      </c>
      <c r="F52" s="67">
        <v>0.09</v>
      </c>
      <c r="G52" s="33">
        <v>1.8</v>
      </c>
      <c r="H52" s="66">
        <v>2.4</v>
      </c>
      <c r="J52" s="33"/>
    </row>
    <row r="53" spans="1:10" x14ac:dyDescent="0.2">
      <c r="A53" s="35" t="s">
        <v>14</v>
      </c>
      <c r="B53" s="32">
        <v>10.27732</v>
      </c>
      <c r="C53" s="66">
        <v>15.13587911412867</v>
      </c>
      <c r="D53" s="33">
        <v>-25</v>
      </c>
      <c r="E53" s="67">
        <v>0.04</v>
      </c>
      <c r="F53" s="67">
        <v>0.08</v>
      </c>
      <c r="G53" s="33">
        <v>2</v>
      </c>
      <c r="H53" s="66">
        <v>2</v>
      </c>
      <c r="J53" s="33"/>
    </row>
    <row r="54" spans="1:10" x14ac:dyDescent="0.2">
      <c r="A54" s="35" t="s">
        <v>15</v>
      </c>
      <c r="B54" s="32">
        <v>10.369495000000001</v>
      </c>
      <c r="C54" s="66">
        <v>6.5401971553517972</v>
      </c>
      <c r="D54" s="33">
        <v>-24.9</v>
      </c>
      <c r="E54" s="67">
        <v>0.04</v>
      </c>
      <c r="F54" s="67">
        <v>0.09</v>
      </c>
      <c r="G54" s="33">
        <v>2.2999999999999998</v>
      </c>
      <c r="H54" s="66">
        <v>6</v>
      </c>
      <c r="J54" s="33"/>
    </row>
    <row r="55" spans="1:10" x14ac:dyDescent="0.2">
      <c r="A55" s="68" t="s">
        <v>16</v>
      </c>
      <c r="B55" s="40">
        <v>10.46167</v>
      </c>
      <c r="C55" s="42">
        <v>11.409343433263704</v>
      </c>
      <c r="D55" s="41">
        <v>-25</v>
      </c>
      <c r="E55" s="69">
        <v>0.05</v>
      </c>
      <c r="F55" s="69">
        <v>0.1</v>
      </c>
      <c r="G55" s="41">
        <v>2</v>
      </c>
      <c r="H55" s="42">
        <v>8.3000000000000007</v>
      </c>
      <c r="I55" s="42" t="s">
        <v>486</v>
      </c>
      <c r="J55" s="33"/>
    </row>
    <row r="56" spans="1:10" x14ac:dyDescent="0.2">
      <c r="A56" s="68" t="s">
        <v>17</v>
      </c>
      <c r="B56" s="40">
        <v>10.553844999999999</v>
      </c>
      <c r="C56" s="42">
        <v>9.0289817694113061</v>
      </c>
      <c r="D56" s="41">
        <v>-25.7</v>
      </c>
      <c r="E56" s="69">
        <v>0.04</v>
      </c>
      <c r="F56" s="69">
        <v>0.08</v>
      </c>
      <c r="G56" s="41">
        <v>2</v>
      </c>
      <c r="H56" s="42">
        <v>2.5</v>
      </c>
      <c r="I56" s="42" t="s">
        <v>486</v>
      </c>
      <c r="J56" s="33"/>
    </row>
    <row r="57" spans="1:10" x14ac:dyDescent="0.2">
      <c r="A57" s="68" t="s">
        <v>18</v>
      </c>
      <c r="B57" s="40">
        <v>10.64602</v>
      </c>
      <c r="C57" s="42">
        <v>14.444452162505655</v>
      </c>
      <c r="D57" s="41">
        <v>-25.9</v>
      </c>
      <c r="E57" s="69">
        <v>0.05</v>
      </c>
      <c r="F57" s="69">
        <v>0.06</v>
      </c>
      <c r="G57" s="41">
        <v>1.2</v>
      </c>
      <c r="H57" s="42">
        <v>0.5</v>
      </c>
      <c r="I57" s="42" t="s">
        <v>486</v>
      </c>
      <c r="J57" s="33"/>
    </row>
    <row r="58" spans="1:10" x14ac:dyDescent="0.2">
      <c r="A58" s="68" t="s">
        <v>19</v>
      </c>
      <c r="B58" s="40">
        <v>10.738195000000001</v>
      </c>
      <c r="C58" s="42">
        <v>15.474210643689858</v>
      </c>
      <c r="D58" s="41">
        <v>-26.2</v>
      </c>
      <c r="E58" s="69">
        <v>0.04</v>
      </c>
      <c r="F58" s="69">
        <v>0.06</v>
      </c>
      <c r="G58" s="41">
        <v>1.5</v>
      </c>
      <c r="H58" s="42">
        <v>2.1</v>
      </c>
      <c r="I58" s="42" t="s">
        <v>486</v>
      </c>
      <c r="J58" s="33"/>
    </row>
    <row r="59" spans="1:10" x14ac:dyDescent="0.2">
      <c r="A59" s="68" t="s">
        <v>20</v>
      </c>
      <c r="B59" s="40">
        <v>10.83037</v>
      </c>
      <c r="C59" s="42">
        <v>17.184282422692334</v>
      </c>
      <c r="D59" s="41">
        <v>-27.1</v>
      </c>
      <c r="E59" s="69">
        <v>0.03</v>
      </c>
      <c r="F59" s="69">
        <v>0.06</v>
      </c>
      <c r="G59" s="41">
        <v>2</v>
      </c>
      <c r="H59" s="42">
        <v>2.5</v>
      </c>
      <c r="I59" s="42" t="s">
        <v>486</v>
      </c>
      <c r="J59" s="33"/>
    </row>
    <row r="60" spans="1:10" x14ac:dyDescent="0.2">
      <c r="A60" s="68" t="s">
        <v>21</v>
      </c>
      <c r="B60" s="40">
        <v>10.922545</v>
      </c>
      <c r="C60" s="42">
        <v>13.311434451180752</v>
      </c>
      <c r="D60" s="41">
        <v>-26.6</v>
      </c>
      <c r="E60" s="69">
        <v>0.04</v>
      </c>
      <c r="F60" s="69">
        <v>0.05</v>
      </c>
      <c r="G60" s="41">
        <v>1.3</v>
      </c>
      <c r="H60" s="42">
        <v>1.2</v>
      </c>
      <c r="I60" s="42" t="s">
        <v>486</v>
      </c>
      <c r="J60" s="33"/>
    </row>
    <row r="61" spans="1:10" x14ac:dyDescent="0.2">
      <c r="A61" s="68" t="s">
        <v>22</v>
      </c>
      <c r="B61" s="40">
        <v>11.014720000000001</v>
      </c>
      <c r="C61" s="42">
        <v>11.558805440795819</v>
      </c>
      <c r="D61" s="41">
        <v>-25.5</v>
      </c>
      <c r="E61" s="69">
        <v>0.04</v>
      </c>
      <c r="F61" s="69">
        <v>0.1</v>
      </c>
      <c r="G61" s="41">
        <v>2.5</v>
      </c>
      <c r="H61" s="42">
        <v>15.1</v>
      </c>
      <c r="I61" s="42" t="s">
        <v>486</v>
      </c>
      <c r="J61" s="33"/>
    </row>
    <row r="62" spans="1:10" x14ac:dyDescent="0.2">
      <c r="A62" s="68" t="s">
        <v>23</v>
      </c>
      <c r="B62" s="40">
        <v>11.106895</v>
      </c>
      <c r="C62" s="42">
        <v>12.297169018785553</v>
      </c>
      <c r="D62" s="41">
        <v>-26.7</v>
      </c>
      <c r="E62" s="69">
        <v>0.04</v>
      </c>
      <c r="F62" s="69">
        <v>7.0000000000000007E-2</v>
      </c>
      <c r="G62" s="41">
        <v>1.8</v>
      </c>
      <c r="H62" s="42">
        <v>0.7</v>
      </c>
      <c r="I62" s="42" t="s">
        <v>486</v>
      </c>
      <c r="J62" s="33"/>
    </row>
    <row r="63" spans="1:10" x14ac:dyDescent="0.2">
      <c r="A63" s="68" t="s">
        <v>24</v>
      </c>
      <c r="B63" s="40">
        <v>11.199070000000001</v>
      </c>
      <c r="C63" s="42">
        <v>13.590216260528809</v>
      </c>
      <c r="D63" s="41">
        <v>-26.4</v>
      </c>
      <c r="E63" s="69">
        <v>0.06</v>
      </c>
      <c r="F63" s="69">
        <v>7.0000000000000007E-2</v>
      </c>
      <c r="G63" s="41">
        <v>1.2</v>
      </c>
      <c r="H63" s="42">
        <v>1.4</v>
      </c>
      <c r="I63" s="42" t="s">
        <v>486</v>
      </c>
      <c r="J63" s="33"/>
    </row>
    <row r="64" spans="1:10" x14ac:dyDescent="0.2">
      <c r="A64" s="68" t="s">
        <v>25</v>
      </c>
      <c r="B64" s="40">
        <v>11.291245</v>
      </c>
      <c r="C64" s="42">
        <v>14.732488909384404</v>
      </c>
      <c r="D64" s="41">
        <v>-26.7</v>
      </c>
      <c r="E64" s="69">
        <v>0.04</v>
      </c>
      <c r="F64" s="69">
        <v>0.06</v>
      </c>
      <c r="G64" s="41">
        <v>1.5</v>
      </c>
      <c r="H64" s="42">
        <v>1.1000000000000001</v>
      </c>
      <c r="I64" s="42" t="s">
        <v>486</v>
      </c>
      <c r="J64" s="33"/>
    </row>
    <row r="65" spans="1:10" x14ac:dyDescent="0.2">
      <c r="A65" s="68" t="s">
        <v>26</v>
      </c>
      <c r="B65" s="40">
        <v>11.383420000000001</v>
      </c>
      <c r="C65" s="42">
        <v>14.524950500801303</v>
      </c>
      <c r="D65" s="41">
        <v>-24.7</v>
      </c>
      <c r="E65" s="69">
        <v>7.0000000000000007E-2</v>
      </c>
      <c r="F65" s="69">
        <v>0.1</v>
      </c>
      <c r="G65" s="41">
        <v>1.4</v>
      </c>
      <c r="H65" s="42">
        <v>13.4</v>
      </c>
      <c r="I65" s="42" t="s">
        <v>486</v>
      </c>
      <c r="J65" s="33"/>
    </row>
    <row r="66" spans="1:10" x14ac:dyDescent="0.2">
      <c r="A66" s="35" t="s">
        <v>27</v>
      </c>
      <c r="B66" s="32">
        <v>11.475595</v>
      </c>
      <c r="C66" s="66">
        <v>11.028121869393576</v>
      </c>
      <c r="D66" s="33">
        <v>-24.5</v>
      </c>
      <c r="E66" s="67">
        <v>0.04</v>
      </c>
      <c r="F66" s="67">
        <v>0.1</v>
      </c>
      <c r="G66" s="33">
        <v>2.5</v>
      </c>
      <c r="H66" s="66">
        <v>12.9</v>
      </c>
      <c r="J66" s="33"/>
    </row>
    <row r="67" spans="1:10" x14ac:dyDescent="0.2">
      <c r="A67" s="35" t="s">
        <v>28</v>
      </c>
      <c r="B67" s="32">
        <v>11.567770000000001</v>
      </c>
      <c r="C67" s="66">
        <v>11.266124869533925</v>
      </c>
      <c r="D67" s="33">
        <v>-24.5</v>
      </c>
      <c r="E67" s="67">
        <v>0.04</v>
      </c>
      <c r="F67" s="67">
        <v>0.1</v>
      </c>
      <c r="G67" s="33">
        <v>2.5</v>
      </c>
      <c r="H67" s="66">
        <v>6.3</v>
      </c>
      <c r="J67" s="33"/>
    </row>
    <row r="68" spans="1:10" x14ac:dyDescent="0.2">
      <c r="A68" s="35" t="s">
        <v>29</v>
      </c>
      <c r="B68" s="32">
        <v>11.659945</v>
      </c>
      <c r="C68" s="66">
        <v>21.12077207207204</v>
      </c>
      <c r="D68" s="33">
        <v>-24.5</v>
      </c>
      <c r="E68" s="67">
        <v>0.05</v>
      </c>
      <c r="F68" s="67">
        <v>0.08</v>
      </c>
      <c r="G68" s="33">
        <v>1.6</v>
      </c>
      <c r="H68" s="66">
        <v>0.9</v>
      </c>
      <c r="J68" s="33"/>
    </row>
    <row r="69" spans="1:10" x14ac:dyDescent="0.2">
      <c r="A69" s="35" t="s">
        <v>30</v>
      </c>
      <c r="B69" s="32">
        <v>11.752120000000001</v>
      </c>
      <c r="C69" s="66">
        <v>24.185898872100466</v>
      </c>
      <c r="D69" s="33">
        <v>-24.4</v>
      </c>
      <c r="E69" s="67">
        <v>0.06</v>
      </c>
      <c r="F69" s="67">
        <v>0.11</v>
      </c>
      <c r="G69" s="33">
        <v>1.8</v>
      </c>
      <c r="H69" s="66">
        <v>1.2</v>
      </c>
      <c r="J69" s="33"/>
    </row>
    <row r="70" spans="1:10" x14ac:dyDescent="0.2">
      <c r="A70" s="35" t="s">
        <v>31</v>
      </c>
      <c r="B70" s="32">
        <v>11.844295000000001</v>
      </c>
      <c r="C70" s="66">
        <v>24.843405009887974</v>
      </c>
      <c r="D70" s="33">
        <v>-24.5</v>
      </c>
      <c r="E70" s="67">
        <v>0.05</v>
      </c>
      <c r="F70" s="67">
        <v>0.11</v>
      </c>
      <c r="G70" s="33">
        <v>2.2000000000000002</v>
      </c>
      <c r="H70" s="66">
        <v>4.2</v>
      </c>
      <c r="J70" s="33"/>
    </row>
    <row r="71" spans="1:10" x14ac:dyDescent="0.2">
      <c r="A71" s="35" t="s">
        <v>32</v>
      </c>
      <c r="B71" s="32">
        <v>11.93647</v>
      </c>
      <c r="C71" s="66">
        <v>14.519730190344148</v>
      </c>
      <c r="D71" s="33">
        <v>-24.1</v>
      </c>
      <c r="E71" s="67">
        <v>0.05</v>
      </c>
      <c r="F71" s="67">
        <v>0.11</v>
      </c>
      <c r="G71" s="33">
        <v>2.2000000000000002</v>
      </c>
      <c r="H71" s="66">
        <v>1.7</v>
      </c>
      <c r="J71" s="33"/>
    </row>
    <row r="72" spans="1:10" x14ac:dyDescent="0.2">
      <c r="A72" s="35" t="s">
        <v>33</v>
      </c>
      <c r="B72" s="32">
        <v>12.028645000000001</v>
      </c>
      <c r="C72" s="66">
        <v>12.117183117326093</v>
      </c>
      <c r="D72" s="33">
        <v>-24.1</v>
      </c>
      <c r="E72" s="67">
        <v>0.05</v>
      </c>
      <c r="F72" s="67">
        <v>0.14000000000000001</v>
      </c>
      <c r="G72" s="33">
        <v>2.8</v>
      </c>
      <c r="H72" s="66">
        <v>2.7</v>
      </c>
      <c r="J72" s="33"/>
    </row>
    <row r="73" spans="1:10" x14ac:dyDescent="0.2">
      <c r="A73" s="35" t="s">
        <v>34</v>
      </c>
      <c r="B73" s="32">
        <v>12.120820000000002</v>
      </c>
      <c r="C73" s="66">
        <v>10.955629686756122</v>
      </c>
      <c r="D73" s="33">
        <v>-24.1</v>
      </c>
      <c r="E73" s="67">
        <v>0.06</v>
      </c>
      <c r="F73" s="67">
        <v>0.15</v>
      </c>
      <c r="G73" s="33">
        <v>2.5</v>
      </c>
      <c r="H73" s="66">
        <v>5.5</v>
      </c>
      <c r="J73" s="33"/>
    </row>
    <row r="74" spans="1:10" x14ac:dyDescent="0.2">
      <c r="A74" s="35" t="s">
        <v>35</v>
      </c>
      <c r="B74" s="32">
        <v>12.212995000000001</v>
      </c>
      <c r="C74" s="66">
        <v>12.352667015511059</v>
      </c>
      <c r="D74" s="33">
        <v>-24.5</v>
      </c>
      <c r="E74" s="67">
        <v>0.05</v>
      </c>
      <c r="F74" s="67">
        <v>0.14000000000000001</v>
      </c>
      <c r="G74" s="33">
        <v>2.8</v>
      </c>
      <c r="H74" s="66">
        <v>1.8</v>
      </c>
      <c r="J74" s="33"/>
    </row>
    <row r="75" spans="1:10" x14ac:dyDescent="0.2">
      <c r="A75" s="35" t="s">
        <v>36</v>
      </c>
      <c r="B75" s="32">
        <v>12.30517</v>
      </c>
      <c r="C75" s="66">
        <v>14.865314280644185</v>
      </c>
      <c r="D75" s="33">
        <v>-24.4</v>
      </c>
      <c r="E75" s="67">
        <v>0.05</v>
      </c>
      <c r="F75" s="67">
        <v>0.15</v>
      </c>
      <c r="G75" s="33">
        <v>3</v>
      </c>
      <c r="H75" s="66">
        <v>3.6</v>
      </c>
      <c r="J75" s="33"/>
    </row>
    <row r="76" spans="1:10" x14ac:dyDescent="0.2">
      <c r="A76" s="35" t="s">
        <v>37</v>
      </c>
      <c r="B76" s="32">
        <v>12.397345000000001</v>
      </c>
      <c r="C76" s="66">
        <v>16.145139393939456</v>
      </c>
      <c r="D76" s="33">
        <v>-24.9</v>
      </c>
      <c r="E76" s="67">
        <v>7.0000000000000007E-2</v>
      </c>
      <c r="F76" s="67">
        <v>0.11</v>
      </c>
      <c r="G76" s="33">
        <v>1.6</v>
      </c>
      <c r="H76" s="66">
        <v>3.6</v>
      </c>
      <c r="J76" s="33"/>
    </row>
    <row r="77" spans="1:10" x14ac:dyDescent="0.2">
      <c r="A77" s="35" t="s">
        <v>38</v>
      </c>
      <c r="B77" s="32">
        <v>12.489520000000002</v>
      </c>
      <c r="C77" s="66">
        <v>16.05684958091555</v>
      </c>
      <c r="D77" s="33">
        <v>-24.4</v>
      </c>
      <c r="E77" s="67">
        <v>0.04</v>
      </c>
      <c r="F77" s="67">
        <v>0.1</v>
      </c>
      <c r="G77" s="33">
        <v>2.5</v>
      </c>
      <c r="H77" s="66">
        <v>4.2</v>
      </c>
      <c r="J77" s="33"/>
    </row>
    <row r="78" spans="1:10" x14ac:dyDescent="0.2">
      <c r="A78" s="35" t="s">
        <v>39</v>
      </c>
      <c r="B78" s="32">
        <v>12.581695000000002</v>
      </c>
      <c r="C78" s="66">
        <v>11.259643795401789</v>
      </c>
      <c r="D78" s="33">
        <v>-24.6</v>
      </c>
      <c r="E78" s="67">
        <v>0.03</v>
      </c>
      <c r="F78" s="67">
        <v>0.08</v>
      </c>
      <c r="G78" s="33">
        <v>2.7</v>
      </c>
      <c r="H78" s="66">
        <v>1.7</v>
      </c>
      <c r="J78" s="33"/>
    </row>
    <row r="79" spans="1:10" x14ac:dyDescent="0.2">
      <c r="A79" s="35" t="s">
        <v>40</v>
      </c>
      <c r="B79" s="32">
        <v>12.673870000000001</v>
      </c>
      <c r="C79" s="66">
        <v>15.676347535858039</v>
      </c>
      <c r="D79" s="33">
        <v>-24.7</v>
      </c>
      <c r="E79" s="67">
        <v>0.04</v>
      </c>
      <c r="F79" s="67">
        <v>0.14000000000000001</v>
      </c>
      <c r="G79" s="33">
        <v>3.5</v>
      </c>
      <c r="H79" s="66">
        <v>4.3</v>
      </c>
      <c r="J79" s="33"/>
    </row>
    <row r="80" spans="1:10" x14ac:dyDescent="0.2">
      <c r="A80" s="35" t="s">
        <v>41</v>
      </c>
      <c r="B80" s="32">
        <v>12.715449275362319</v>
      </c>
      <c r="C80" s="66">
        <v>20.342754374253126</v>
      </c>
      <c r="D80" s="33">
        <v>-24.7</v>
      </c>
      <c r="E80" s="67">
        <v>0.05</v>
      </c>
      <c r="F80" s="67">
        <v>0.17</v>
      </c>
      <c r="G80" s="33">
        <v>3.4</v>
      </c>
      <c r="H80" s="66">
        <v>3.2</v>
      </c>
      <c r="J80" s="33"/>
    </row>
    <row r="81" spans="1:10" x14ac:dyDescent="0.2">
      <c r="A81" s="35" t="s">
        <v>42</v>
      </c>
      <c r="B81" s="32">
        <v>12.833788898003828</v>
      </c>
      <c r="C81" s="66">
        <v>14.08766847644344</v>
      </c>
      <c r="D81" s="33">
        <v>-24.7</v>
      </c>
      <c r="E81" s="67">
        <v>0.05</v>
      </c>
      <c r="F81" s="67">
        <v>0.15</v>
      </c>
      <c r="G81" s="33">
        <v>3</v>
      </c>
      <c r="H81" s="66">
        <v>2.9</v>
      </c>
      <c r="J81" s="33"/>
    </row>
    <row r="82" spans="1:10" x14ac:dyDescent="0.2">
      <c r="A82" s="35" t="s">
        <v>43</v>
      </c>
      <c r="B82" s="32">
        <v>12.952128520645338</v>
      </c>
      <c r="C82" s="66">
        <v>21.019723836875393</v>
      </c>
      <c r="D82" s="33">
        <v>-24.9</v>
      </c>
      <c r="E82" s="67">
        <v>7.0000000000000007E-2</v>
      </c>
      <c r="F82" s="67">
        <v>0.18</v>
      </c>
      <c r="G82" s="33">
        <v>2.6</v>
      </c>
      <c r="H82" s="66">
        <v>2.2999999999999998</v>
      </c>
      <c r="J82" s="33"/>
    </row>
    <row r="83" spans="1:10" x14ac:dyDescent="0.2">
      <c r="A83" s="35" t="s">
        <v>44</v>
      </c>
      <c r="B83" s="32">
        <v>13.070468143286847</v>
      </c>
      <c r="C83" s="66">
        <v>19.881223668089849</v>
      </c>
      <c r="D83" s="33">
        <v>-24.7</v>
      </c>
      <c r="E83" s="67">
        <v>0.06</v>
      </c>
      <c r="F83" s="67">
        <v>0.17</v>
      </c>
      <c r="G83" s="33">
        <v>2.8</v>
      </c>
      <c r="H83" s="66">
        <v>2.2000000000000002</v>
      </c>
      <c r="J83" s="33"/>
    </row>
    <row r="84" spans="1:10" x14ac:dyDescent="0.2">
      <c r="A84" s="35" t="s">
        <v>45</v>
      </c>
      <c r="B84" s="32">
        <v>13.188807765928358</v>
      </c>
      <c r="C84" s="66">
        <v>18.352517134361648</v>
      </c>
      <c r="D84" s="33">
        <v>-25.2</v>
      </c>
      <c r="E84" s="67">
        <v>0.05</v>
      </c>
      <c r="F84" s="67">
        <v>0.14000000000000001</v>
      </c>
      <c r="G84" s="33">
        <v>2.8</v>
      </c>
      <c r="H84" s="66">
        <v>1.8</v>
      </c>
      <c r="J84" s="33"/>
    </row>
    <row r="85" spans="1:10" x14ac:dyDescent="0.2">
      <c r="A85" s="35" t="s">
        <v>46</v>
      </c>
      <c r="B85" s="32">
        <v>13.307147388569867</v>
      </c>
      <c r="C85" s="66">
        <v>17.60014446557626</v>
      </c>
      <c r="D85" s="33">
        <v>-25.1</v>
      </c>
      <c r="E85" s="67">
        <v>0.04</v>
      </c>
      <c r="F85" s="67">
        <v>0.11</v>
      </c>
      <c r="G85" s="33">
        <v>2.8</v>
      </c>
      <c r="H85" s="66">
        <v>3.2</v>
      </c>
      <c r="J85" s="33"/>
    </row>
    <row r="86" spans="1:10" x14ac:dyDescent="0.2">
      <c r="A86" s="35" t="s">
        <v>47</v>
      </c>
      <c r="B86" s="32">
        <v>13.425487011211375</v>
      </c>
      <c r="C86" s="66">
        <v>15.463236448400046</v>
      </c>
      <c r="D86" s="33">
        <v>-24.8</v>
      </c>
      <c r="E86" s="67">
        <v>0.08</v>
      </c>
      <c r="F86" s="67">
        <v>0.18</v>
      </c>
      <c r="G86" s="33">
        <v>2.2999999999999998</v>
      </c>
      <c r="H86" s="66">
        <v>3.4</v>
      </c>
      <c r="J86" s="33"/>
    </row>
    <row r="87" spans="1:10" x14ac:dyDescent="0.2">
      <c r="A87" s="35" t="s">
        <v>48</v>
      </c>
      <c r="B87" s="32">
        <v>13.543826633852886</v>
      </c>
      <c r="C87" s="66">
        <v>10.724093481717009</v>
      </c>
      <c r="D87" s="33">
        <v>-24.9</v>
      </c>
      <c r="E87" s="67">
        <v>0.05</v>
      </c>
      <c r="F87" s="67">
        <v>0.13</v>
      </c>
      <c r="G87" s="33">
        <v>2.6</v>
      </c>
      <c r="H87" s="66">
        <v>4.2</v>
      </c>
      <c r="J87" s="33"/>
    </row>
    <row r="88" spans="1:10" x14ac:dyDescent="0.2">
      <c r="A88" s="35" t="s">
        <v>49</v>
      </c>
      <c r="B88" s="32">
        <v>13.662166256494395</v>
      </c>
      <c r="C88" s="66">
        <v>16.944244980830522</v>
      </c>
      <c r="D88" s="33">
        <v>-24.9</v>
      </c>
      <c r="E88" s="67">
        <v>7.0000000000000007E-2</v>
      </c>
      <c r="F88" s="67">
        <v>0.21</v>
      </c>
      <c r="G88" s="33">
        <v>3</v>
      </c>
      <c r="H88" s="66">
        <v>2.8</v>
      </c>
      <c r="J88" s="33"/>
    </row>
    <row r="89" spans="1:10" x14ac:dyDescent="0.2">
      <c r="A89" s="35" t="s">
        <v>50</v>
      </c>
      <c r="B89" s="32">
        <v>13.780505879135903</v>
      </c>
      <c r="C89" s="66">
        <v>10.864786241995038</v>
      </c>
      <c r="D89" s="33">
        <v>-25.1</v>
      </c>
      <c r="E89" s="67">
        <v>0.06</v>
      </c>
      <c r="F89" s="67">
        <v>0.14000000000000001</v>
      </c>
      <c r="G89" s="33">
        <v>2.2999999999999998</v>
      </c>
      <c r="H89" s="66">
        <v>3.1</v>
      </c>
      <c r="J89" s="33"/>
    </row>
    <row r="90" spans="1:10" x14ac:dyDescent="0.2">
      <c r="A90" s="35" t="s">
        <v>51</v>
      </c>
      <c r="B90" s="32">
        <v>13.898845501777414</v>
      </c>
      <c r="C90" s="66">
        <v>9.9720669663840091</v>
      </c>
      <c r="D90" s="33">
        <v>-24.7</v>
      </c>
      <c r="E90" s="67">
        <v>0.05</v>
      </c>
      <c r="F90" s="67">
        <v>0.1</v>
      </c>
      <c r="G90" s="33">
        <v>2</v>
      </c>
      <c r="H90" s="66">
        <v>3.4</v>
      </c>
      <c r="J90" s="33"/>
    </row>
    <row r="91" spans="1:10" x14ac:dyDescent="0.2">
      <c r="A91" s="35" t="s">
        <v>52</v>
      </c>
      <c r="B91" s="32">
        <v>14.017185124418923</v>
      </c>
      <c r="C91" s="66">
        <v>9.0743146535867361</v>
      </c>
      <c r="D91" s="33">
        <v>-24.8</v>
      </c>
      <c r="E91" s="67">
        <v>0.05</v>
      </c>
      <c r="F91" s="67">
        <v>0.11</v>
      </c>
      <c r="G91" s="33">
        <v>2.2000000000000002</v>
      </c>
      <c r="H91" s="66">
        <v>2.4</v>
      </c>
      <c r="J91" s="33"/>
    </row>
    <row r="92" spans="1:10" x14ac:dyDescent="0.2">
      <c r="A92" s="35" t="s">
        <v>53</v>
      </c>
      <c r="B92" s="32">
        <v>14.135524747060433</v>
      </c>
      <c r="C92" s="66">
        <v>8.404065292915508</v>
      </c>
      <c r="D92" s="33">
        <v>-25.1</v>
      </c>
      <c r="E92" s="67">
        <v>0.05</v>
      </c>
      <c r="F92" s="67">
        <v>0.12</v>
      </c>
      <c r="G92" s="33">
        <v>2.4</v>
      </c>
      <c r="H92" s="66">
        <v>2.2999999999999998</v>
      </c>
      <c r="J92" s="33"/>
    </row>
    <row r="93" spans="1:10" x14ac:dyDescent="0.2">
      <c r="A93" s="35" t="s">
        <v>54</v>
      </c>
      <c r="B93" s="32">
        <v>14.253864369701942</v>
      </c>
      <c r="C93" s="66">
        <v>10.168752018602387</v>
      </c>
      <c r="D93" s="33">
        <v>-24.8</v>
      </c>
      <c r="E93" s="67">
        <v>7.0000000000000007E-2</v>
      </c>
      <c r="F93" s="67">
        <v>0.16</v>
      </c>
      <c r="G93" s="33">
        <v>2.2999999999999998</v>
      </c>
      <c r="H93" s="66">
        <v>2.2999999999999998</v>
      </c>
      <c r="J93" s="33"/>
    </row>
    <row r="94" spans="1:10" x14ac:dyDescent="0.2">
      <c r="A94" s="35" t="s">
        <v>55</v>
      </c>
      <c r="B94" s="32">
        <v>14.372203992343451</v>
      </c>
      <c r="C94" s="66">
        <v>12.416102738987725</v>
      </c>
      <c r="D94" s="33">
        <v>-24.7</v>
      </c>
      <c r="E94" s="67">
        <v>0.06</v>
      </c>
      <c r="F94" s="67">
        <v>0.15</v>
      </c>
      <c r="G94" s="33">
        <v>2.5</v>
      </c>
      <c r="H94" s="66">
        <v>4</v>
      </c>
      <c r="J94" s="33"/>
    </row>
    <row r="95" spans="1:10" x14ac:dyDescent="0.2">
      <c r="A95" s="35" t="s">
        <v>56</v>
      </c>
      <c r="B95" s="32">
        <v>14.490543614984961</v>
      </c>
      <c r="C95" s="66">
        <v>10.613576476259372</v>
      </c>
      <c r="D95" s="33">
        <v>-24.7</v>
      </c>
      <c r="E95" s="67">
        <v>0.06</v>
      </c>
      <c r="F95" s="67">
        <v>0.15</v>
      </c>
      <c r="G95" s="33">
        <v>2.5</v>
      </c>
      <c r="H95" s="66">
        <v>1.5</v>
      </c>
      <c r="J95" s="33"/>
    </row>
    <row r="96" spans="1:10" x14ac:dyDescent="0.2">
      <c r="A96" s="35" t="s">
        <v>57</v>
      </c>
      <c r="B96" s="32">
        <v>14.60888323762647</v>
      </c>
      <c r="C96" s="66">
        <v>9.0350497143572177</v>
      </c>
      <c r="D96" s="33">
        <v>-24.6</v>
      </c>
      <c r="E96" s="67">
        <v>7.0000000000000007E-2</v>
      </c>
      <c r="F96" s="67">
        <v>0.17</v>
      </c>
      <c r="G96" s="33">
        <v>2.4</v>
      </c>
      <c r="H96" s="66">
        <v>3.1</v>
      </c>
      <c r="J96" s="33"/>
    </row>
    <row r="97" spans="1:10" x14ac:dyDescent="0.2">
      <c r="A97" s="35" t="s">
        <v>58</v>
      </c>
      <c r="B97" s="32">
        <v>14.727222860267981</v>
      </c>
      <c r="C97" s="66">
        <v>8.118816547402318</v>
      </c>
      <c r="D97" s="33">
        <v>-24.8</v>
      </c>
      <c r="E97" s="67">
        <v>0.05</v>
      </c>
      <c r="F97" s="67">
        <v>0.15</v>
      </c>
      <c r="G97" s="33">
        <v>3</v>
      </c>
      <c r="H97" s="66">
        <v>3.8</v>
      </c>
      <c r="J97" s="33"/>
    </row>
    <row r="98" spans="1:10" x14ac:dyDescent="0.2">
      <c r="A98" s="35" t="s">
        <v>59</v>
      </c>
      <c r="B98" s="32">
        <v>14.845562482909489</v>
      </c>
      <c r="C98" s="66">
        <v>8.8538670175900052</v>
      </c>
      <c r="D98" s="33">
        <v>-24.4</v>
      </c>
      <c r="E98" s="67">
        <v>0.06</v>
      </c>
      <c r="F98" s="67">
        <v>0.13</v>
      </c>
      <c r="G98" s="33">
        <v>2.2000000000000002</v>
      </c>
      <c r="H98" s="66">
        <v>2.4</v>
      </c>
      <c r="J98" s="33"/>
    </row>
    <row r="99" spans="1:10" x14ac:dyDescent="0.2">
      <c r="A99" s="35" t="s">
        <v>60</v>
      </c>
      <c r="B99" s="32">
        <v>14.963902105551</v>
      </c>
      <c r="C99" s="66">
        <v>11.738042105263162</v>
      </c>
      <c r="D99" s="33">
        <v>-24.3</v>
      </c>
      <c r="E99" s="67">
        <v>0.05</v>
      </c>
      <c r="F99" s="67">
        <v>0.11</v>
      </c>
      <c r="G99" s="33">
        <v>2.2000000000000002</v>
      </c>
      <c r="H99" s="66">
        <v>2.2999999999999998</v>
      </c>
      <c r="J99" s="33"/>
    </row>
    <row r="100" spans="1:10" x14ac:dyDescent="0.2">
      <c r="A100" s="35" t="s">
        <v>61</v>
      </c>
      <c r="B100" s="32">
        <v>15.082241728192509</v>
      </c>
      <c r="C100" s="66">
        <v>9.4280092691621533</v>
      </c>
      <c r="D100" s="33">
        <v>-24.5</v>
      </c>
      <c r="E100" s="67">
        <v>0.06</v>
      </c>
      <c r="F100" s="67">
        <v>0.13</v>
      </c>
      <c r="G100" s="33">
        <v>2.2000000000000002</v>
      </c>
      <c r="H100" s="66">
        <v>2.2000000000000002</v>
      </c>
      <c r="J100" s="33"/>
    </row>
    <row r="101" spans="1:10" x14ac:dyDescent="0.2">
      <c r="A101" s="35" t="s">
        <v>62</v>
      </c>
      <c r="B101" s="32">
        <v>15.200581350834018</v>
      </c>
      <c r="C101" s="66">
        <v>8.0716784037182379</v>
      </c>
      <c r="D101" s="33">
        <v>-24.5</v>
      </c>
      <c r="E101" s="67">
        <v>0.05</v>
      </c>
      <c r="F101" s="67">
        <v>0.1</v>
      </c>
      <c r="G101" s="33">
        <v>2</v>
      </c>
      <c r="H101" s="66">
        <v>2.8</v>
      </c>
      <c r="J101" s="33"/>
    </row>
    <row r="102" spans="1:10" x14ac:dyDescent="0.2">
      <c r="A102" s="35" t="s">
        <v>63</v>
      </c>
      <c r="B102" s="32">
        <v>15.318920973475528</v>
      </c>
      <c r="C102" s="66">
        <v>8.0069376669139736</v>
      </c>
      <c r="D102" s="33">
        <v>-24.8</v>
      </c>
      <c r="E102" s="67">
        <v>0.05</v>
      </c>
      <c r="F102" s="67">
        <v>0.11</v>
      </c>
      <c r="G102" s="33">
        <v>2.2000000000000002</v>
      </c>
      <c r="H102" s="66">
        <v>2.9</v>
      </c>
      <c r="J102" s="33"/>
    </row>
    <row r="103" spans="1:10" x14ac:dyDescent="0.2">
      <c r="A103" s="35" t="s">
        <v>64</v>
      </c>
      <c r="B103" s="32">
        <v>15.437260596117037</v>
      </c>
      <c r="C103" s="66">
        <v>5.2083087475581236</v>
      </c>
      <c r="D103" s="33">
        <v>-24.7</v>
      </c>
      <c r="E103" s="67">
        <v>0.05</v>
      </c>
      <c r="F103" s="67">
        <v>0.13</v>
      </c>
      <c r="G103" s="33">
        <v>2.6</v>
      </c>
      <c r="H103" s="66">
        <v>1.8</v>
      </c>
      <c r="J103" s="33"/>
    </row>
    <row r="104" spans="1:10" x14ac:dyDescent="0.2">
      <c r="A104" s="35" t="s">
        <v>65</v>
      </c>
      <c r="B104" s="32">
        <v>15.555600218758547</v>
      </c>
      <c r="C104" s="66">
        <v>4.9366907927590198</v>
      </c>
      <c r="D104" s="33">
        <v>-24.5</v>
      </c>
      <c r="E104" s="67">
        <v>0.05</v>
      </c>
      <c r="F104" s="67">
        <v>0.14000000000000001</v>
      </c>
      <c r="G104" s="33">
        <v>2.8</v>
      </c>
      <c r="H104" s="66">
        <v>2.8</v>
      </c>
      <c r="J104" s="33"/>
    </row>
    <row r="105" spans="1:10" x14ac:dyDescent="0.2">
      <c r="A105" s="35" t="s">
        <v>66</v>
      </c>
      <c r="B105" s="32">
        <v>15.673939841400056</v>
      </c>
      <c r="C105" s="66">
        <v>4.8533719279937024</v>
      </c>
      <c r="D105" s="33">
        <v>-24.7</v>
      </c>
      <c r="E105" s="67">
        <v>0.04</v>
      </c>
      <c r="F105" s="67">
        <v>7.0000000000000007E-2</v>
      </c>
      <c r="G105" s="33">
        <v>1.8</v>
      </c>
      <c r="H105" s="66">
        <v>1.6</v>
      </c>
      <c r="J105" s="33"/>
    </row>
    <row r="106" spans="1:10" x14ac:dyDescent="0.2">
      <c r="A106" s="35" t="s">
        <v>67</v>
      </c>
      <c r="B106" s="32">
        <v>15.792279464041567</v>
      </c>
      <c r="C106" s="66">
        <v>5.429583851871663</v>
      </c>
      <c r="D106" s="33">
        <v>-24.3</v>
      </c>
      <c r="E106" s="67">
        <v>0.08</v>
      </c>
      <c r="F106" s="67">
        <v>0.15</v>
      </c>
      <c r="G106" s="33">
        <v>1.9</v>
      </c>
      <c r="H106" s="66">
        <v>1.5</v>
      </c>
      <c r="J106" s="33"/>
    </row>
    <row r="107" spans="1:10" x14ac:dyDescent="0.2">
      <c r="A107" s="35" t="s">
        <v>68</v>
      </c>
      <c r="B107" s="32">
        <v>15.910619086683075</v>
      </c>
      <c r="C107" s="66">
        <v>4.8988629048298433</v>
      </c>
      <c r="D107" s="33">
        <v>-24.4</v>
      </c>
      <c r="E107" s="67">
        <v>0.05</v>
      </c>
      <c r="F107" s="67">
        <v>0.09</v>
      </c>
      <c r="G107" s="33">
        <v>1.8</v>
      </c>
      <c r="H107" s="66">
        <v>2.5</v>
      </c>
      <c r="J107" s="33"/>
    </row>
    <row r="108" spans="1:10" x14ac:dyDescent="0.2">
      <c r="A108" s="35" t="s">
        <v>69</v>
      </c>
      <c r="B108" s="32">
        <v>16.028958709324584</v>
      </c>
      <c r="C108" s="66">
        <v>5.6084683850035484</v>
      </c>
      <c r="D108" s="33">
        <v>-24.4</v>
      </c>
      <c r="E108" s="67">
        <v>0.05</v>
      </c>
      <c r="F108" s="67">
        <v>0.09</v>
      </c>
      <c r="G108" s="33">
        <v>1.8</v>
      </c>
      <c r="H108" s="66">
        <v>1.8</v>
      </c>
      <c r="J108" s="33"/>
    </row>
    <row r="109" spans="1:10" x14ac:dyDescent="0.2">
      <c r="A109" s="35" t="s">
        <v>70</v>
      </c>
      <c r="B109" s="32">
        <v>16.147298331966095</v>
      </c>
      <c r="C109" s="66">
        <v>5.7470219348421283</v>
      </c>
      <c r="D109" s="33">
        <v>-24.6</v>
      </c>
      <c r="E109" s="67">
        <v>0.05</v>
      </c>
      <c r="F109" s="67">
        <v>0.09</v>
      </c>
      <c r="G109" s="33">
        <v>1.8</v>
      </c>
      <c r="H109" s="66">
        <v>1.3</v>
      </c>
      <c r="J109" s="33"/>
    </row>
    <row r="110" spans="1:10" x14ac:dyDescent="0.2">
      <c r="A110" s="35" t="s">
        <v>71</v>
      </c>
      <c r="B110" s="32">
        <v>16.265637954607605</v>
      </c>
      <c r="C110" s="66">
        <v>5.5869888349514811</v>
      </c>
      <c r="D110" s="33">
        <v>-24.7</v>
      </c>
      <c r="E110" s="67">
        <v>0.05</v>
      </c>
      <c r="F110" s="67">
        <v>0.16</v>
      </c>
      <c r="G110" s="33">
        <v>3.2</v>
      </c>
      <c r="H110" s="66">
        <v>2.4</v>
      </c>
      <c r="J110" s="33"/>
    </row>
    <row r="111" spans="1:10" x14ac:dyDescent="0.2">
      <c r="A111" s="35" t="s">
        <v>72</v>
      </c>
      <c r="B111" s="32">
        <v>16.383977577249112</v>
      </c>
      <c r="C111" s="66">
        <v>6.3748204782342119</v>
      </c>
      <c r="D111" s="33">
        <v>-24.5</v>
      </c>
      <c r="E111" s="67">
        <v>0.05</v>
      </c>
      <c r="F111" s="67">
        <v>0.15</v>
      </c>
      <c r="G111" s="33">
        <v>3</v>
      </c>
      <c r="H111" s="66">
        <v>2.2999999999999998</v>
      </c>
      <c r="J111" s="33"/>
    </row>
    <row r="112" spans="1:10" x14ac:dyDescent="0.2">
      <c r="A112" s="35" t="s">
        <v>73</v>
      </c>
      <c r="B112" s="32">
        <v>16.502317199890623</v>
      </c>
      <c r="C112" s="66">
        <v>4.5581162876743928</v>
      </c>
      <c r="D112" s="33">
        <v>-24.4</v>
      </c>
      <c r="E112" s="67">
        <v>0.05</v>
      </c>
      <c r="F112" s="67">
        <v>0.17</v>
      </c>
      <c r="G112" s="33">
        <v>3.4</v>
      </c>
      <c r="H112" s="66">
        <v>1.9</v>
      </c>
      <c r="J112" s="33"/>
    </row>
    <row r="113" spans="1:10" x14ac:dyDescent="0.2">
      <c r="A113" s="35" t="s">
        <v>74</v>
      </c>
      <c r="B113" s="32">
        <v>16.620656822532133</v>
      </c>
      <c r="C113" s="66">
        <v>6.0713228648487254</v>
      </c>
      <c r="D113" s="33">
        <v>-24.8</v>
      </c>
      <c r="E113" s="67">
        <v>0.05</v>
      </c>
      <c r="F113" s="67">
        <v>0.15</v>
      </c>
      <c r="G113" s="33">
        <v>3</v>
      </c>
      <c r="H113" s="66">
        <v>4.8</v>
      </c>
      <c r="J113" s="33"/>
    </row>
    <row r="114" spans="1:10" x14ac:dyDescent="0.2">
      <c r="A114" s="35" t="s">
        <v>75</v>
      </c>
      <c r="B114" s="32">
        <v>16.738996445173644</v>
      </c>
      <c r="C114" s="66">
        <v>5.9982694849825977</v>
      </c>
      <c r="D114" s="33">
        <v>-24.4</v>
      </c>
      <c r="E114" s="67">
        <v>0.09</v>
      </c>
      <c r="F114" s="67">
        <v>0.17</v>
      </c>
      <c r="G114" s="33">
        <v>1.9</v>
      </c>
      <c r="H114" s="66">
        <v>2.9</v>
      </c>
      <c r="J114" s="33"/>
    </row>
    <row r="115" spans="1:10" x14ac:dyDescent="0.2">
      <c r="A115" s="35" t="s">
        <v>76</v>
      </c>
      <c r="B115" s="32">
        <v>16.857336067815151</v>
      </c>
      <c r="C115" s="66">
        <v>5.7038298415492781</v>
      </c>
      <c r="D115" s="33">
        <v>-24.6</v>
      </c>
      <c r="E115" s="67">
        <v>0.06</v>
      </c>
      <c r="F115" s="67">
        <v>0.14000000000000001</v>
      </c>
      <c r="G115" s="33">
        <v>2.2999999999999998</v>
      </c>
      <c r="H115" s="66">
        <v>2.1</v>
      </c>
      <c r="J115" s="33"/>
    </row>
    <row r="116" spans="1:10" x14ac:dyDescent="0.2">
      <c r="A116" s="35" t="s">
        <v>77</v>
      </c>
      <c r="B116" s="32">
        <v>16.975675690456661</v>
      </c>
      <c r="C116" s="66">
        <v>6.6866563153085297</v>
      </c>
      <c r="D116" s="33">
        <v>-24.9</v>
      </c>
      <c r="E116" s="67">
        <v>0.05</v>
      </c>
      <c r="F116" s="67">
        <v>0.13</v>
      </c>
      <c r="G116" s="33">
        <v>2.6</v>
      </c>
      <c r="H116" s="66">
        <v>2.2000000000000002</v>
      </c>
      <c r="J116" s="33"/>
    </row>
    <row r="117" spans="1:10" x14ac:dyDescent="0.2">
      <c r="A117" s="35" t="s">
        <v>78</v>
      </c>
      <c r="B117" s="32">
        <v>17.094015313098172</v>
      </c>
      <c r="C117" s="66">
        <v>8.5837320512820305</v>
      </c>
      <c r="D117" s="33">
        <v>-24.6</v>
      </c>
      <c r="E117" s="67">
        <v>0.05</v>
      </c>
      <c r="F117" s="67">
        <v>0.12</v>
      </c>
      <c r="G117" s="33">
        <v>2.4</v>
      </c>
      <c r="H117" s="66">
        <v>3.4</v>
      </c>
      <c r="J117" s="33"/>
    </row>
    <row r="118" spans="1:10" x14ac:dyDescent="0.2">
      <c r="A118" s="35" t="s">
        <v>79</v>
      </c>
      <c r="B118" s="32">
        <v>17.212354935739679</v>
      </c>
      <c r="C118" s="66">
        <v>8.8460970456580803</v>
      </c>
      <c r="D118" s="33">
        <v>-24.8</v>
      </c>
      <c r="E118" s="67">
        <v>0.05</v>
      </c>
      <c r="F118" s="67">
        <v>0.12</v>
      </c>
      <c r="G118" s="33">
        <v>2.4</v>
      </c>
      <c r="H118" s="66">
        <v>1.9</v>
      </c>
      <c r="J118" s="33"/>
    </row>
    <row r="119" spans="1:10" x14ac:dyDescent="0.2">
      <c r="A119" s="35" t="s">
        <v>80</v>
      </c>
      <c r="B119" s="32">
        <v>17.33069455838119</v>
      </c>
      <c r="C119" s="66">
        <v>9.3609014925373621</v>
      </c>
      <c r="D119" s="33">
        <v>-24.7</v>
      </c>
      <c r="E119" s="67">
        <v>0.05</v>
      </c>
      <c r="F119" s="67">
        <v>0.11</v>
      </c>
      <c r="G119" s="33">
        <v>2.2000000000000002</v>
      </c>
      <c r="H119" s="66">
        <v>4.0999999999999996</v>
      </c>
      <c r="J119" s="33"/>
    </row>
    <row r="120" spans="1:10" x14ac:dyDescent="0.2">
      <c r="A120" s="35" t="s">
        <v>81</v>
      </c>
      <c r="B120" s="32">
        <v>17.4490341810227</v>
      </c>
      <c r="C120" s="66">
        <v>10.175603708189666</v>
      </c>
      <c r="D120" s="33">
        <v>-24.6</v>
      </c>
      <c r="E120" s="67">
        <v>0.06</v>
      </c>
      <c r="F120" s="67">
        <v>0.14000000000000001</v>
      </c>
      <c r="G120" s="33">
        <v>2.2999999999999998</v>
      </c>
      <c r="H120" s="66">
        <v>3</v>
      </c>
      <c r="J120" s="33"/>
    </row>
    <row r="121" spans="1:10" x14ac:dyDescent="0.2">
      <c r="A121" s="35" t="s">
        <v>82</v>
      </c>
      <c r="B121" s="32">
        <v>17.567373803664207</v>
      </c>
      <c r="C121" s="66">
        <v>9.4101366017105583</v>
      </c>
      <c r="D121" s="33">
        <v>-24.6</v>
      </c>
      <c r="E121" s="67">
        <v>0.05</v>
      </c>
      <c r="F121" s="67">
        <v>0.12</v>
      </c>
      <c r="G121" s="33">
        <v>2.4</v>
      </c>
      <c r="H121" s="66">
        <v>3.5</v>
      </c>
      <c r="J121" s="33"/>
    </row>
    <row r="122" spans="1:10" x14ac:dyDescent="0.2">
      <c r="A122" s="35" t="s">
        <v>83</v>
      </c>
      <c r="B122" s="32">
        <v>17.685713426305718</v>
      </c>
      <c r="C122" s="66">
        <v>14.714504380656248</v>
      </c>
      <c r="D122" s="33">
        <v>-25.1</v>
      </c>
      <c r="E122" s="67">
        <v>7.0000000000000007E-2</v>
      </c>
      <c r="F122" s="67">
        <v>0.1</v>
      </c>
      <c r="G122" s="33">
        <v>1.6</v>
      </c>
      <c r="H122" s="66">
        <v>2.4</v>
      </c>
      <c r="J122" s="33"/>
    </row>
    <row r="123" spans="1:10" x14ac:dyDescent="0.2">
      <c r="A123" s="35" t="s">
        <v>84</v>
      </c>
      <c r="B123" s="32">
        <v>17.804053048947228</v>
      </c>
      <c r="C123" s="66">
        <v>13.88686229560248</v>
      </c>
      <c r="D123" s="33">
        <v>-25.1</v>
      </c>
      <c r="E123" s="67">
        <v>0.05</v>
      </c>
      <c r="F123" s="67">
        <v>0.1</v>
      </c>
      <c r="G123" s="33">
        <v>2</v>
      </c>
      <c r="H123" s="66">
        <v>2.7</v>
      </c>
      <c r="J123" s="33"/>
    </row>
    <row r="124" spans="1:10" x14ac:dyDescent="0.2">
      <c r="A124" s="35" t="s">
        <v>85</v>
      </c>
      <c r="B124" s="32">
        <v>17.922392671588735</v>
      </c>
      <c r="C124" s="66">
        <v>11.959507778819187</v>
      </c>
      <c r="D124" s="33">
        <v>-25.1</v>
      </c>
      <c r="E124" s="67">
        <v>0.06</v>
      </c>
      <c r="F124" s="67">
        <v>0.1</v>
      </c>
      <c r="G124" s="33">
        <v>1.9</v>
      </c>
      <c r="H124" s="66">
        <v>3.2</v>
      </c>
      <c r="J124" s="33"/>
    </row>
    <row r="125" spans="1:10" x14ac:dyDescent="0.2">
      <c r="A125" s="35" t="s">
        <v>86</v>
      </c>
      <c r="B125" s="32">
        <v>18.040732294230242</v>
      </c>
      <c r="C125" s="66">
        <v>10.760439541741201</v>
      </c>
      <c r="D125" s="33">
        <v>-25.1</v>
      </c>
      <c r="E125" s="67">
        <v>7.0000000000000007E-2</v>
      </c>
      <c r="F125" s="67">
        <v>0.12</v>
      </c>
      <c r="G125" s="33">
        <v>1.9</v>
      </c>
      <c r="H125" s="66">
        <v>2.5</v>
      </c>
      <c r="J125" s="33"/>
    </row>
    <row r="126" spans="1:10" x14ac:dyDescent="0.2">
      <c r="A126" s="35" t="s">
        <v>87</v>
      </c>
      <c r="B126" s="32">
        <v>18.159071916871753</v>
      </c>
      <c r="C126" s="66">
        <v>18.618138760056819</v>
      </c>
      <c r="D126" s="33">
        <v>-25.2</v>
      </c>
      <c r="E126" s="67">
        <v>0.06</v>
      </c>
      <c r="F126" s="67">
        <v>0.1</v>
      </c>
      <c r="G126" s="33">
        <v>1.9</v>
      </c>
      <c r="H126" s="66">
        <v>3.2</v>
      </c>
      <c r="J126" s="33"/>
    </row>
    <row r="127" spans="1:10" x14ac:dyDescent="0.2">
      <c r="A127" s="35" t="s">
        <v>88</v>
      </c>
      <c r="B127" s="32">
        <v>18.277411539513263</v>
      </c>
      <c r="C127" s="66">
        <v>15.271681553398032</v>
      </c>
      <c r="D127" s="33">
        <v>-25.2</v>
      </c>
      <c r="E127" s="67">
        <v>0.05</v>
      </c>
      <c r="F127" s="67">
        <v>0.08</v>
      </c>
      <c r="G127" s="33">
        <v>1.6</v>
      </c>
      <c r="H127" s="66">
        <v>2</v>
      </c>
      <c r="J127" s="33"/>
    </row>
    <row r="128" spans="1:10" x14ac:dyDescent="0.2">
      <c r="A128" s="35" t="s">
        <v>89</v>
      </c>
      <c r="B128" s="32">
        <v>18.39575116215477</v>
      </c>
      <c r="C128" s="66">
        <v>14.799402287864137</v>
      </c>
      <c r="D128" s="33">
        <v>-25.2</v>
      </c>
      <c r="E128" s="67">
        <v>0.05</v>
      </c>
      <c r="F128" s="67">
        <v>7.0000000000000007E-2</v>
      </c>
      <c r="G128" s="33">
        <v>1.4</v>
      </c>
      <c r="H128" s="66">
        <v>2.8</v>
      </c>
      <c r="J128" s="33"/>
    </row>
    <row r="129" spans="1:10" x14ac:dyDescent="0.2">
      <c r="A129" s="35" t="s">
        <v>90</v>
      </c>
      <c r="B129" s="32">
        <v>18.514090784796281</v>
      </c>
      <c r="C129" s="66">
        <v>16.154422872827062</v>
      </c>
      <c r="D129" s="33">
        <v>-25.1</v>
      </c>
      <c r="E129" s="67">
        <v>0.06</v>
      </c>
      <c r="F129" s="67">
        <v>0.1</v>
      </c>
      <c r="G129" s="33">
        <v>1.9</v>
      </c>
      <c r="H129" s="66">
        <v>4.9000000000000004</v>
      </c>
      <c r="J129" s="33"/>
    </row>
    <row r="130" spans="1:10" x14ac:dyDescent="0.2">
      <c r="A130" s="35" t="s">
        <v>91</v>
      </c>
      <c r="B130" s="32">
        <v>18.632430407437788</v>
      </c>
      <c r="C130" s="66">
        <v>15.23374677537473</v>
      </c>
      <c r="D130" s="33">
        <v>-25.3</v>
      </c>
      <c r="E130" s="67">
        <v>0.06</v>
      </c>
      <c r="F130" s="67">
        <v>0.1</v>
      </c>
      <c r="G130" s="33">
        <v>1.7</v>
      </c>
      <c r="H130" s="66">
        <v>3.8</v>
      </c>
      <c r="J130" s="33"/>
    </row>
    <row r="131" spans="1:10" x14ac:dyDescent="0.2">
      <c r="A131" s="35" t="s">
        <v>92</v>
      </c>
      <c r="B131" s="32">
        <v>18.750770030079298</v>
      </c>
      <c r="C131" s="66">
        <v>18.372987751589626</v>
      </c>
      <c r="D131" s="33">
        <v>-25.4</v>
      </c>
      <c r="E131" s="67">
        <v>0.04</v>
      </c>
      <c r="F131" s="67">
        <v>0.08</v>
      </c>
      <c r="G131" s="33">
        <v>2</v>
      </c>
      <c r="H131" s="66">
        <v>7.8</v>
      </c>
      <c r="J131" s="33"/>
    </row>
    <row r="132" spans="1:10" x14ac:dyDescent="0.2">
      <c r="A132" s="35" t="s">
        <v>93</v>
      </c>
      <c r="B132" s="32">
        <v>18.869109652720805</v>
      </c>
      <c r="C132" s="66">
        <v>18.749817610792029</v>
      </c>
      <c r="D132" s="33">
        <v>-25.4</v>
      </c>
      <c r="E132" s="67">
        <v>0.06</v>
      </c>
      <c r="F132" s="67">
        <v>0.1</v>
      </c>
      <c r="G132" s="33">
        <v>1.7</v>
      </c>
      <c r="H132" s="66">
        <v>1.7</v>
      </c>
      <c r="J132" s="33"/>
    </row>
    <row r="133" spans="1:10" x14ac:dyDescent="0.2">
      <c r="A133" s="35" t="s">
        <v>94</v>
      </c>
      <c r="B133" s="32">
        <v>18.987449275362316</v>
      </c>
      <c r="C133" s="66">
        <v>16.780983457347169</v>
      </c>
      <c r="D133" s="33">
        <v>-25.6</v>
      </c>
      <c r="E133" s="67">
        <v>7.0000000000000007E-2</v>
      </c>
      <c r="F133" s="67">
        <v>0.11</v>
      </c>
      <c r="G133" s="33">
        <v>1.5</v>
      </c>
      <c r="H133" s="66">
        <v>0.8</v>
      </c>
      <c r="J133" s="33"/>
    </row>
    <row r="134" spans="1:10" x14ac:dyDescent="0.2">
      <c r="A134" s="35" t="s">
        <v>95</v>
      </c>
      <c r="B134" s="32">
        <v>19.043899999999997</v>
      </c>
      <c r="C134" s="66">
        <v>24.192581608452954</v>
      </c>
      <c r="D134" s="33">
        <v>-25.5</v>
      </c>
      <c r="E134" s="67">
        <v>7.0000000000000007E-2</v>
      </c>
      <c r="F134" s="67">
        <v>0.12</v>
      </c>
      <c r="G134" s="33">
        <v>1.9</v>
      </c>
      <c r="H134" s="66">
        <v>3.6</v>
      </c>
      <c r="J134" s="33"/>
    </row>
    <row r="135" spans="1:10" x14ac:dyDescent="0.2">
      <c r="A135" s="35" t="s">
        <v>96</v>
      </c>
      <c r="B135" s="32">
        <v>19.185742105263156</v>
      </c>
      <c r="C135" s="66">
        <v>24.465736141276725</v>
      </c>
      <c r="D135" s="33">
        <v>-25.8</v>
      </c>
      <c r="E135" s="67">
        <v>7.0000000000000007E-2</v>
      </c>
      <c r="F135" s="67">
        <v>0.1</v>
      </c>
      <c r="G135" s="33">
        <v>1.6</v>
      </c>
      <c r="H135" s="66">
        <v>0.8</v>
      </c>
      <c r="J135" s="33"/>
    </row>
    <row r="136" spans="1:10" x14ac:dyDescent="0.2">
      <c r="A136" s="35" t="s">
        <v>97</v>
      </c>
      <c r="B136" s="32">
        <v>19.327584210526314</v>
      </c>
      <c r="C136" s="66">
        <v>18.815475639771414</v>
      </c>
      <c r="D136" s="33">
        <v>-25.1</v>
      </c>
      <c r="E136" s="67">
        <v>0.06</v>
      </c>
      <c r="F136" s="67">
        <v>0.08</v>
      </c>
      <c r="G136" s="33">
        <v>1.4</v>
      </c>
      <c r="H136" s="66">
        <v>1</v>
      </c>
      <c r="J136" s="33"/>
    </row>
    <row r="137" spans="1:10" x14ac:dyDescent="0.2">
      <c r="A137" s="35" t="s">
        <v>98</v>
      </c>
      <c r="B137" s="32">
        <v>19.46942631578947</v>
      </c>
      <c r="C137" s="66">
        <v>21.121536022704202</v>
      </c>
      <c r="D137" s="33">
        <v>-25.8</v>
      </c>
      <c r="E137" s="67">
        <v>0.06</v>
      </c>
      <c r="F137" s="67">
        <v>0.1</v>
      </c>
      <c r="G137" s="33">
        <v>1.7</v>
      </c>
      <c r="H137" s="66">
        <v>3.2</v>
      </c>
      <c r="J137" s="33"/>
    </row>
    <row r="138" spans="1:10" x14ac:dyDescent="0.2">
      <c r="A138" s="35" t="s">
        <v>99</v>
      </c>
      <c r="B138" s="32">
        <v>19.611268421052628</v>
      </c>
      <c r="C138" s="66">
        <v>47.805192079207899</v>
      </c>
      <c r="D138" s="33">
        <v>-26.1</v>
      </c>
      <c r="E138" s="67">
        <v>0.03</v>
      </c>
      <c r="F138" s="67">
        <v>0.06</v>
      </c>
      <c r="G138" s="33">
        <v>2</v>
      </c>
      <c r="H138" s="66">
        <v>0.4</v>
      </c>
      <c r="J138" s="33"/>
    </row>
    <row r="139" spans="1:10" x14ac:dyDescent="0.2">
      <c r="A139" s="35" t="s">
        <v>100</v>
      </c>
      <c r="B139" s="32">
        <v>19.753110526315787</v>
      </c>
      <c r="C139" s="66">
        <v>15.324323399598729</v>
      </c>
      <c r="D139" s="33">
        <v>-26</v>
      </c>
      <c r="E139" s="67">
        <v>0.06</v>
      </c>
      <c r="F139" s="67">
        <v>0.09</v>
      </c>
      <c r="G139" s="33">
        <v>1.5</v>
      </c>
      <c r="H139" s="66">
        <v>0.5</v>
      </c>
      <c r="J139" s="33"/>
    </row>
    <row r="140" spans="1:10" x14ac:dyDescent="0.2">
      <c r="A140" s="48" t="s">
        <v>101</v>
      </c>
      <c r="B140" s="46">
        <v>19.894952631578946</v>
      </c>
      <c r="C140" s="70">
        <v>15.828656097560948</v>
      </c>
      <c r="D140" s="47">
        <v>-25.9</v>
      </c>
      <c r="E140" s="71">
        <v>0.06</v>
      </c>
      <c r="F140" s="71">
        <v>0.09</v>
      </c>
      <c r="G140" s="47">
        <v>1.5</v>
      </c>
      <c r="H140" s="70">
        <v>1.3</v>
      </c>
      <c r="I140" s="48" t="s">
        <v>487</v>
      </c>
      <c r="J140" s="33"/>
    </row>
    <row r="141" spans="1:10" x14ac:dyDescent="0.2">
      <c r="A141" s="48" t="s">
        <v>102</v>
      </c>
      <c r="B141" s="46">
        <v>20.036794736842101</v>
      </c>
      <c r="C141" s="70">
        <v>18.046165831953669</v>
      </c>
      <c r="D141" s="47">
        <v>-26.9</v>
      </c>
      <c r="E141" s="71">
        <v>0.04</v>
      </c>
      <c r="F141" s="71">
        <v>0.06</v>
      </c>
      <c r="G141" s="47">
        <v>1.5</v>
      </c>
      <c r="H141" s="70">
        <v>1.1000000000000001</v>
      </c>
      <c r="I141" s="48" t="s">
        <v>487</v>
      </c>
      <c r="J141" s="33"/>
    </row>
    <row r="142" spans="1:10" x14ac:dyDescent="0.2">
      <c r="A142" s="48" t="s">
        <v>103</v>
      </c>
      <c r="B142" s="46">
        <v>20.178636842105259</v>
      </c>
      <c r="C142" s="70">
        <v>10.809179943069863</v>
      </c>
      <c r="D142" s="47">
        <v>-28.5</v>
      </c>
      <c r="E142" s="71">
        <v>0.06</v>
      </c>
      <c r="F142" s="71">
        <v>0.25</v>
      </c>
      <c r="G142" s="47">
        <v>4.4000000000000004</v>
      </c>
      <c r="H142" s="70">
        <v>8.9</v>
      </c>
      <c r="I142" s="48" t="s">
        <v>487</v>
      </c>
      <c r="J142" s="33"/>
    </row>
    <row r="143" spans="1:10" x14ac:dyDescent="0.2">
      <c r="A143" s="48" t="s">
        <v>104</v>
      </c>
      <c r="B143" s="46">
        <v>20.320478947368418</v>
      </c>
      <c r="C143" s="70">
        <v>8.6326848545636441</v>
      </c>
      <c r="D143" s="47">
        <v>-29.9</v>
      </c>
      <c r="E143" s="71">
        <v>0.08</v>
      </c>
      <c r="F143" s="71">
        <v>0.57999999999999996</v>
      </c>
      <c r="G143" s="47">
        <v>7.7</v>
      </c>
      <c r="H143" s="70">
        <v>9.1999999999999993</v>
      </c>
      <c r="I143" s="48" t="s">
        <v>487</v>
      </c>
      <c r="J143" s="33"/>
    </row>
    <row r="144" spans="1:10" x14ac:dyDescent="0.2">
      <c r="A144" s="48" t="s">
        <v>105</v>
      </c>
      <c r="B144" s="46">
        <v>20.462321052631577</v>
      </c>
      <c r="C144" s="70">
        <v>5.9734363188343078</v>
      </c>
      <c r="D144" s="47">
        <v>-30</v>
      </c>
      <c r="E144" s="71">
        <v>0.09</v>
      </c>
      <c r="F144" s="71">
        <v>1.2</v>
      </c>
      <c r="G144" s="47">
        <v>14.1</v>
      </c>
      <c r="H144" s="70">
        <v>17</v>
      </c>
      <c r="I144" s="48" t="s">
        <v>487</v>
      </c>
      <c r="J144" s="33"/>
    </row>
    <row r="145" spans="1:10" x14ac:dyDescent="0.2">
      <c r="A145" s="48" t="s">
        <v>106</v>
      </c>
      <c r="B145" s="46">
        <v>20.604163157894735</v>
      </c>
      <c r="C145" s="70">
        <v>7.6749439515017688</v>
      </c>
      <c r="D145" s="47">
        <v>-30.6</v>
      </c>
      <c r="E145" s="71">
        <v>0.09</v>
      </c>
      <c r="F145" s="71">
        <v>1.35</v>
      </c>
      <c r="G145" s="47">
        <v>15.9</v>
      </c>
      <c r="H145" s="70">
        <v>16.899999999999999</v>
      </c>
      <c r="I145" s="48" t="s">
        <v>487</v>
      </c>
      <c r="J145" s="33"/>
    </row>
    <row r="146" spans="1:10" x14ac:dyDescent="0.2">
      <c r="A146" s="72" t="s">
        <v>107</v>
      </c>
      <c r="B146" s="52">
        <v>20.74600526315789</v>
      </c>
      <c r="C146" s="73">
        <v>6.7397914067098146</v>
      </c>
      <c r="D146" s="53">
        <v>-30.6</v>
      </c>
      <c r="E146" s="74">
        <v>0.1</v>
      </c>
      <c r="F146" s="74">
        <v>1.56</v>
      </c>
      <c r="G146" s="53">
        <v>15</v>
      </c>
      <c r="H146" s="73">
        <v>16.2</v>
      </c>
      <c r="I146" s="53" t="s">
        <v>488</v>
      </c>
      <c r="J146" s="33"/>
    </row>
    <row r="147" spans="1:10" x14ac:dyDescent="0.2">
      <c r="A147" s="72" t="s">
        <v>108</v>
      </c>
      <c r="B147" s="52">
        <v>20.887847368421049</v>
      </c>
      <c r="C147" s="73">
        <v>5.7107476381599405</v>
      </c>
      <c r="D147" s="53">
        <v>-30.3</v>
      </c>
      <c r="E147" s="74">
        <v>7.0000000000000007E-2</v>
      </c>
      <c r="F147" s="74">
        <v>0.76</v>
      </c>
      <c r="G147" s="53">
        <v>11.4</v>
      </c>
      <c r="H147" s="73">
        <v>11.3</v>
      </c>
      <c r="I147" s="53" t="s">
        <v>488</v>
      </c>
      <c r="J147" s="33"/>
    </row>
    <row r="148" spans="1:10" x14ac:dyDescent="0.2">
      <c r="A148" s="72" t="s">
        <v>109</v>
      </c>
      <c r="B148" s="52">
        <v>21.029689473684208</v>
      </c>
      <c r="C148" s="73">
        <v>11.087140533519817</v>
      </c>
      <c r="D148" s="53">
        <v>-30.1</v>
      </c>
      <c r="E148" s="74">
        <v>0.1</v>
      </c>
      <c r="F148" s="74">
        <v>0.59</v>
      </c>
      <c r="G148" s="53">
        <v>5.7</v>
      </c>
      <c r="H148" s="73">
        <v>13.3</v>
      </c>
      <c r="I148" s="53" t="s">
        <v>488</v>
      </c>
      <c r="J148" s="33"/>
    </row>
    <row r="149" spans="1:10" x14ac:dyDescent="0.2">
      <c r="A149" s="72" t="s">
        <v>110</v>
      </c>
      <c r="B149" s="52">
        <v>21.171531578947366</v>
      </c>
      <c r="C149" s="73">
        <v>16.766137491432499</v>
      </c>
      <c r="D149" s="53">
        <v>-29.2</v>
      </c>
      <c r="E149" s="74">
        <v>0.06</v>
      </c>
      <c r="F149" s="74">
        <v>0.25</v>
      </c>
      <c r="G149" s="53">
        <v>4.4000000000000004</v>
      </c>
      <c r="H149" s="73">
        <v>6.3</v>
      </c>
      <c r="I149" s="53" t="s">
        <v>488</v>
      </c>
      <c r="J149" s="33"/>
    </row>
    <row r="150" spans="1:10" x14ac:dyDescent="0.2">
      <c r="A150" s="72" t="s">
        <v>111</v>
      </c>
      <c r="B150" s="52">
        <v>21.313373684210525</v>
      </c>
      <c r="C150" s="73">
        <v>19.421500424328134</v>
      </c>
      <c r="D150" s="53">
        <v>-29.4</v>
      </c>
      <c r="E150" s="74">
        <v>0.06</v>
      </c>
      <c r="F150" s="74">
        <v>0.27</v>
      </c>
      <c r="G150" s="53">
        <v>4.7</v>
      </c>
      <c r="H150" s="73">
        <v>4.9000000000000004</v>
      </c>
      <c r="I150" s="53" t="s">
        <v>488</v>
      </c>
      <c r="J150" s="33"/>
    </row>
    <row r="151" spans="1:10" x14ac:dyDescent="0.2">
      <c r="A151" s="72" t="s">
        <v>112</v>
      </c>
      <c r="B151" s="52">
        <v>21.455215789473684</v>
      </c>
      <c r="C151" s="73">
        <v>21.991674008237613</v>
      </c>
      <c r="D151" s="53">
        <v>-29.3</v>
      </c>
      <c r="E151" s="74">
        <v>0.06</v>
      </c>
      <c r="F151" s="74">
        <v>0.24</v>
      </c>
      <c r="G151" s="53">
        <v>4.2</v>
      </c>
      <c r="H151" s="73">
        <v>4.5</v>
      </c>
      <c r="I151" s="53" t="s">
        <v>488</v>
      </c>
      <c r="J151" s="33"/>
    </row>
    <row r="152" spans="1:10" x14ac:dyDescent="0.2">
      <c r="A152" s="72" t="s">
        <v>113</v>
      </c>
      <c r="B152" s="52">
        <v>21.597057894736839</v>
      </c>
      <c r="C152" s="73">
        <v>24.945638573315762</v>
      </c>
      <c r="D152" s="53">
        <v>-29.4</v>
      </c>
      <c r="E152" s="74">
        <v>7.0000000000000007E-2</v>
      </c>
      <c r="F152" s="74">
        <v>0.32</v>
      </c>
      <c r="G152" s="53">
        <v>4.8</v>
      </c>
      <c r="H152" s="73">
        <v>4.3</v>
      </c>
      <c r="I152" s="53" t="s">
        <v>488</v>
      </c>
      <c r="J152" s="33"/>
    </row>
    <row r="153" spans="1:10" x14ac:dyDescent="0.2">
      <c r="A153" s="72" t="s">
        <v>114</v>
      </c>
      <c r="B153" s="52">
        <v>21.738899999999997</v>
      </c>
      <c r="C153" s="73">
        <v>26.314359479015899</v>
      </c>
      <c r="D153" s="53">
        <v>-29.4</v>
      </c>
      <c r="E153" s="74">
        <v>0.06</v>
      </c>
      <c r="F153" s="74">
        <v>0.3</v>
      </c>
      <c r="G153" s="53">
        <v>5.2</v>
      </c>
      <c r="H153" s="73">
        <v>4.4000000000000004</v>
      </c>
      <c r="I153" s="53" t="s">
        <v>488</v>
      </c>
      <c r="J153" s="33"/>
    </row>
    <row r="154" spans="1:10" x14ac:dyDescent="0.2">
      <c r="A154" s="72" t="s">
        <v>115</v>
      </c>
      <c r="B154" s="52">
        <v>21.789244444444442</v>
      </c>
      <c r="C154" s="73">
        <v>7.5201953524921095</v>
      </c>
      <c r="D154" s="53">
        <v>-29.4</v>
      </c>
      <c r="E154" s="74">
        <v>0.08</v>
      </c>
      <c r="F154" s="74">
        <v>0.84</v>
      </c>
      <c r="G154" s="53">
        <v>11.1</v>
      </c>
      <c r="H154" s="73">
        <v>14.2</v>
      </c>
      <c r="I154" s="53" t="s">
        <v>488</v>
      </c>
      <c r="J154" s="33"/>
    </row>
    <row r="155" spans="1:10" x14ac:dyDescent="0.2">
      <c r="A155" s="72" t="s">
        <v>116</v>
      </c>
      <c r="B155" s="52">
        <v>21.927744444444443</v>
      </c>
      <c r="C155" s="73">
        <v>8.3986237181322903</v>
      </c>
      <c r="D155" s="53">
        <v>-28.9</v>
      </c>
      <c r="E155" s="74">
        <v>7.0000000000000007E-2</v>
      </c>
      <c r="F155" s="74">
        <v>0.63</v>
      </c>
      <c r="G155" s="53">
        <v>9.5</v>
      </c>
      <c r="H155" s="73">
        <v>15.3</v>
      </c>
      <c r="I155" s="53" t="s">
        <v>488</v>
      </c>
      <c r="J155" s="33"/>
    </row>
    <row r="156" spans="1:10" x14ac:dyDescent="0.2">
      <c r="A156" s="72" t="s">
        <v>117</v>
      </c>
      <c r="B156" s="52">
        <v>22.066244444444443</v>
      </c>
      <c r="C156" s="73">
        <v>8.8715312982714174</v>
      </c>
      <c r="D156" s="53">
        <v>-28.7</v>
      </c>
      <c r="E156" s="74">
        <v>7.0000000000000007E-2</v>
      </c>
      <c r="F156" s="74">
        <v>0.45</v>
      </c>
      <c r="G156" s="53">
        <v>6.8</v>
      </c>
      <c r="H156" s="73">
        <v>15.4</v>
      </c>
      <c r="I156" s="53" t="s">
        <v>488</v>
      </c>
      <c r="J156" s="33"/>
    </row>
    <row r="157" spans="1:10" x14ac:dyDescent="0.2">
      <c r="A157" s="72" t="s">
        <v>118</v>
      </c>
      <c r="B157" s="52">
        <v>22.204744444444444</v>
      </c>
      <c r="C157" s="73">
        <v>8.8256695564402872</v>
      </c>
      <c r="D157" s="53">
        <v>-28.3</v>
      </c>
      <c r="E157" s="74">
        <v>0.05</v>
      </c>
      <c r="F157" s="74">
        <v>0.25</v>
      </c>
      <c r="G157" s="53">
        <v>5.3</v>
      </c>
      <c r="H157" s="73">
        <v>8.3000000000000007</v>
      </c>
      <c r="I157" s="53" t="s">
        <v>488</v>
      </c>
      <c r="J157" s="33"/>
    </row>
    <row r="158" spans="1:10" x14ac:dyDescent="0.2">
      <c r="A158" s="72" t="s">
        <v>119</v>
      </c>
      <c r="B158" s="52">
        <v>22.343244444444441</v>
      </c>
      <c r="C158" s="73">
        <v>9.9602276353977555</v>
      </c>
      <c r="D158" s="53">
        <v>-28.2</v>
      </c>
      <c r="E158" s="74">
        <v>0.06</v>
      </c>
      <c r="F158" s="74">
        <v>0.27</v>
      </c>
      <c r="G158" s="53">
        <v>4.7</v>
      </c>
      <c r="H158" s="73">
        <v>6.8</v>
      </c>
      <c r="I158" s="53" t="s">
        <v>488</v>
      </c>
      <c r="J158" s="33"/>
    </row>
    <row r="159" spans="1:10" x14ac:dyDescent="0.2">
      <c r="A159" s="72" t="s">
        <v>120</v>
      </c>
      <c r="B159" s="52">
        <v>22.481744444444441</v>
      </c>
      <c r="C159" s="73">
        <v>8.7899587420404828</v>
      </c>
      <c r="D159" s="53">
        <v>-28.7</v>
      </c>
      <c r="E159" s="74">
        <v>7.0000000000000007E-2</v>
      </c>
      <c r="F159" s="74">
        <v>0.4</v>
      </c>
      <c r="G159" s="53">
        <v>6.1</v>
      </c>
      <c r="H159" s="73">
        <v>9.1999999999999993</v>
      </c>
      <c r="I159" s="53" t="s">
        <v>488</v>
      </c>
      <c r="J159" s="33"/>
    </row>
    <row r="160" spans="1:10" x14ac:dyDescent="0.2">
      <c r="A160" s="72" t="s">
        <v>121</v>
      </c>
      <c r="B160" s="52">
        <v>22.620244444444442</v>
      </c>
      <c r="C160" s="73">
        <v>5.8957636363636308</v>
      </c>
      <c r="D160" s="53">
        <v>-28.9</v>
      </c>
      <c r="E160" s="74">
        <v>0.08</v>
      </c>
      <c r="F160" s="74">
        <v>0.43</v>
      </c>
      <c r="G160" s="53">
        <v>5.7</v>
      </c>
      <c r="H160" s="73">
        <v>10.3</v>
      </c>
      <c r="I160" s="53" t="s">
        <v>488</v>
      </c>
      <c r="J160" s="33"/>
    </row>
    <row r="161" spans="1:10" x14ac:dyDescent="0.2">
      <c r="A161" s="72" t="s">
        <v>122</v>
      </c>
      <c r="B161" s="52">
        <v>22.758744444444442</v>
      </c>
      <c r="C161" s="73">
        <v>5.8860818442003957</v>
      </c>
      <c r="D161" s="53">
        <v>-29.2</v>
      </c>
      <c r="E161" s="74">
        <v>7.0000000000000007E-2</v>
      </c>
      <c r="F161" s="74">
        <v>0.46</v>
      </c>
      <c r="G161" s="53">
        <v>6.9</v>
      </c>
      <c r="H161" s="73">
        <v>13.2</v>
      </c>
      <c r="I161" s="53" t="s">
        <v>488</v>
      </c>
      <c r="J161" s="33"/>
    </row>
    <row r="162" spans="1:10" x14ac:dyDescent="0.2">
      <c r="A162" s="72" t="s">
        <v>123</v>
      </c>
      <c r="B162" s="52">
        <v>22.897244444444443</v>
      </c>
      <c r="C162" s="73">
        <v>9.2907469300129275</v>
      </c>
      <c r="D162" s="53">
        <v>-29</v>
      </c>
      <c r="E162" s="74">
        <v>0.09</v>
      </c>
      <c r="F162" s="74">
        <v>0.5</v>
      </c>
      <c r="G162" s="53">
        <v>5.6</v>
      </c>
      <c r="H162" s="73">
        <v>10.7</v>
      </c>
      <c r="I162" s="53" t="s">
        <v>488</v>
      </c>
      <c r="J162" s="33"/>
    </row>
    <row r="163" spans="1:10" x14ac:dyDescent="0.2">
      <c r="A163" s="72" t="s">
        <v>124</v>
      </c>
      <c r="B163" s="52">
        <v>23.035744444444443</v>
      </c>
      <c r="C163" s="73">
        <v>8.9841727272727621</v>
      </c>
      <c r="D163" s="53">
        <v>-28.9</v>
      </c>
      <c r="E163" s="74">
        <v>7.0000000000000007E-2</v>
      </c>
      <c r="F163" s="74">
        <v>0.38</v>
      </c>
      <c r="G163" s="53">
        <v>5.4</v>
      </c>
      <c r="H163" s="73">
        <v>10.4</v>
      </c>
      <c r="I163" s="53" t="s">
        <v>488</v>
      </c>
      <c r="J163" s="33"/>
    </row>
    <row r="164" spans="1:10" x14ac:dyDescent="0.2">
      <c r="A164" s="72" t="s">
        <v>125</v>
      </c>
      <c r="B164" s="52">
        <v>23.174244444444444</v>
      </c>
      <c r="C164" s="73">
        <v>12.714360594756453</v>
      </c>
      <c r="D164" s="53">
        <v>-28.2</v>
      </c>
      <c r="E164" s="74">
        <v>0.06</v>
      </c>
      <c r="F164" s="74">
        <v>0.27</v>
      </c>
      <c r="G164" s="53">
        <v>4.5</v>
      </c>
      <c r="H164" s="73">
        <v>7.6</v>
      </c>
      <c r="I164" s="53" t="s">
        <v>488</v>
      </c>
      <c r="J164" s="33"/>
    </row>
    <row r="165" spans="1:10" x14ac:dyDescent="0.2">
      <c r="A165" s="72" t="s">
        <v>126</v>
      </c>
      <c r="B165" s="52">
        <v>23.312744444444441</v>
      </c>
      <c r="C165" s="73">
        <v>10.11285246978057</v>
      </c>
      <c r="D165" s="53">
        <v>-28.7</v>
      </c>
      <c r="E165" s="74">
        <v>7.0000000000000007E-2</v>
      </c>
      <c r="F165" s="74">
        <v>0.31</v>
      </c>
      <c r="G165" s="53">
        <v>4.4000000000000004</v>
      </c>
      <c r="H165" s="73">
        <v>12.2</v>
      </c>
      <c r="I165" s="53" t="s">
        <v>488</v>
      </c>
      <c r="J165" s="33"/>
    </row>
    <row r="166" spans="1:10" x14ac:dyDescent="0.2">
      <c r="A166" s="72" t="s">
        <v>127</v>
      </c>
      <c r="B166" s="52">
        <v>23.451244444444441</v>
      </c>
      <c r="C166" s="73">
        <v>10.995284760705244</v>
      </c>
      <c r="D166" s="53">
        <v>-29.6</v>
      </c>
      <c r="E166" s="74">
        <v>7.0000000000000007E-2</v>
      </c>
      <c r="F166" s="74">
        <v>0.46</v>
      </c>
      <c r="G166" s="53">
        <v>6.6</v>
      </c>
      <c r="H166" s="73">
        <v>10.7</v>
      </c>
      <c r="I166" s="53" t="s">
        <v>488</v>
      </c>
      <c r="J166" s="33"/>
    </row>
    <row r="167" spans="1:10" x14ac:dyDescent="0.2">
      <c r="A167" s="72" t="s">
        <v>128</v>
      </c>
      <c r="B167" s="52">
        <v>23.589744444444442</v>
      </c>
      <c r="C167" s="73">
        <v>9.070828638453591</v>
      </c>
      <c r="D167" s="53">
        <v>-29.9</v>
      </c>
      <c r="E167" s="74">
        <v>0.09</v>
      </c>
      <c r="F167" s="74">
        <v>0.7</v>
      </c>
      <c r="G167" s="53">
        <v>7.8</v>
      </c>
      <c r="H167" s="73">
        <v>9.1999999999999993</v>
      </c>
      <c r="I167" s="53" t="s">
        <v>488</v>
      </c>
      <c r="J167" s="33"/>
    </row>
    <row r="168" spans="1:10" x14ac:dyDescent="0.2">
      <c r="A168" s="72" t="s">
        <v>129</v>
      </c>
      <c r="B168" s="52">
        <v>23.728244444444442</v>
      </c>
      <c r="C168" s="73">
        <v>6.7877991206156274</v>
      </c>
      <c r="D168" s="53">
        <v>-29.6</v>
      </c>
      <c r="E168" s="74">
        <v>0.09</v>
      </c>
      <c r="F168" s="74">
        <v>1.32</v>
      </c>
      <c r="G168" s="53">
        <v>14.7</v>
      </c>
      <c r="H168" s="73">
        <v>11.2</v>
      </c>
      <c r="I168" s="53" t="s">
        <v>488</v>
      </c>
      <c r="J168" s="33"/>
    </row>
    <row r="169" spans="1:10" x14ac:dyDescent="0.2">
      <c r="A169" s="72" t="s">
        <v>130</v>
      </c>
      <c r="B169" s="52">
        <v>23.866744444444443</v>
      </c>
      <c r="C169" s="73">
        <v>9.3174252609287436</v>
      </c>
      <c r="D169" s="53">
        <v>-29.2</v>
      </c>
      <c r="E169" s="74">
        <v>0.15</v>
      </c>
      <c r="F169" s="74">
        <v>2.86</v>
      </c>
      <c r="G169" s="53">
        <v>19.100000000000001</v>
      </c>
      <c r="H169" s="73">
        <v>16.899999999999999</v>
      </c>
      <c r="I169" s="53" t="s">
        <v>488</v>
      </c>
      <c r="J169" s="33"/>
    </row>
    <row r="170" spans="1:10" x14ac:dyDescent="0.2">
      <c r="A170" s="72" t="s">
        <v>131</v>
      </c>
      <c r="B170" s="52">
        <v>24.005244444444443</v>
      </c>
      <c r="C170" s="73">
        <v>7.9264859023931891</v>
      </c>
      <c r="D170" s="53">
        <v>-30.1</v>
      </c>
      <c r="E170" s="74">
        <v>0.14000000000000001</v>
      </c>
      <c r="F170" s="74">
        <v>2.62</v>
      </c>
      <c r="G170" s="53">
        <v>18.7</v>
      </c>
      <c r="H170" s="73">
        <v>15.1</v>
      </c>
      <c r="I170" s="53" t="s">
        <v>488</v>
      </c>
      <c r="J170" s="33"/>
    </row>
    <row r="171" spans="1:10" x14ac:dyDescent="0.2">
      <c r="A171" s="72" t="s">
        <v>132</v>
      </c>
      <c r="B171" s="52">
        <v>24.143744444444444</v>
      </c>
      <c r="C171" s="73">
        <v>7.2117620141774879</v>
      </c>
      <c r="D171" s="53">
        <v>-30.3</v>
      </c>
      <c r="E171" s="74">
        <v>0.12</v>
      </c>
      <c r="F171" s="74">
        <v>2.5299999999999998</v>
      </c>
      <c r="G171" s="53">
        <v>21.1</v>
      </c>
      <c r="H171" s="73">
        <v>15.6</v>
      </c>
      <c r="I171" s="53" t="s">
        <v>488</v>
      </c>
      <c r="J171" s="33"/>
    </row>
    <row r="172" spans="1:10" x14ac:dyDescent="0.2">
      <c r="A172" s="72" t="s">
        <v>133</v>
      </c>
      <c r="B172" s="52">
        <v>24.282244444444444</v>
      </c>
      <c r="C172" s="73">
        <v>8.3964667222684977</v>
      </c>
      <c r="D172" s="53">
        <v>-30.4</v>
      </c>
      <c r="E172" s="74">
        <v>0.13</v>
      </c>
      <c r="F172" s="74">
        <v>1.69</v>
      </c>
      <c r="G172" s="53">
        <v>13</v>
      </c>
      <c r="H172" s="73">
        <v>11.6</v>
      </c>
      <c r="I172" s="53" t="s">
        <v>488</v>
      </c>
      <c r="J172" s="33"/>
    </row>
    <row r="173" spans="1:10" x14ac:dyDescent="0.2">
      <c r="A173" s="72" t="s">
        <v>134</v>
      </c>
      <c r="B173" s="52">
        <v>24.420744444444441</v>
      </c>
      <c r="C173" s="73">
        <v>16.677215574503595</v>
      </c>
      <c r="D173" s="53">
        <v>-28.4</v>
      </c>
      <c r="E173" s="74">
        <v>7.0000000000000007E-2</v>
      </c>
      <c r="F173" s="74">
        <v>0.43</v>
      </c>
      <c r="G173" s="53">
        <v>6.1</v>
      </c>
      <c r="H173" s="73">
        <v>6.3</v>
      </c>
      <c r="I173" s="53" t="s">
        <v>488</v>
      </c>
      <c r="J173" s="33"/>
    </row>
    <row r="174" spans="1:10" x14ac:dyDescent="0.2">
      <c r="A174" s="72" t="s">
        <v>135</v>
      </c>
      <c r="B174" s="52">
        <v>24.559244444444442</v>
      </c>
      <c r="C174" s="73">
        <v>19.276886478365359</v>
      </c>
      <c r="D174" s="53">
        <v>-29</v>
      </c>
      <c r="E174" s="74">
        <v>7.0000000000000007E-2</v>
      </c>
      <c r="F174" s="74">
        <v>0.46</v>
      </c>
      <c r="G174" s="53">
        <v>6.6</v>
      </c>
      <c r="H174" s="73">
        <v>6.4</v>
      </c>
      <c r="I174" s="53" t="s">
        <v>488</v>
      </c>
      <c r="J174" s="33"/>
    </row>
    <row r="175" spans="1:10" x14ac:dyDescent="0.2">
      <c r="A175" s="72" t="s">
        <v>136</v>
      </c>
      <c r="B175" s="52">
        <v>24.697744444444442</v>
      </c>
      <c r="C175" s="73">
        <v>25.7010990682158</v>
      </c>
      <c r="D175" s="53">
        <v>-29.6</v>
      </c>
      <c r="E175" s="74">
        <v>0.09</v>
      </c>
      <c r="F175" s="74">
        <v>0.57999999999999996</v>
      </c>
      <c r="G175" s="53">
        <v>6.4</v>
      </c>
      <c r="H175" s="73">
        <v>4.4000000000000004</v>
      </c>
      <c r="I175" s="53" t="s">
        <v>488</v>
      </c>
      <c r="J175" s="33"/>
    </row>
    <row r="176" spans="1:10" x14ac:dyDescent="0.2">
      <c r="A176" s="72" t="s">
        <v>137</v>
      </c>
      <c r="B176" s="52">
        <v>24.836244444444443</v>
      </c>
      <c r="C176" s="73">
        <v>30.395772410308265</v>
      </c>
      <c r="D176" s="53">
        <v>-29.6</v>
      </c>
      <c r="E176" s="74">
        <v>7.0000000000000007E-2</v>
      </c>
      <c r="F176" s="74">
        <v>0.55000000000000004</v>
      </c>
      <c r="G176" s="53">
        <v>7.9</v>
      </c>
      <c r="H176" s="73">
        <v>3.7</v>
      </c>
      <c r="I176" s="53" t="s">
        <v>488</v>
      </c>
      <c r="J176" s="33"/>
    </row>
    <row r="177" spans="1:10" x14ac:dyDescent="0.2">
      <c r="A177" s="72" t="s">
        <v>138</v>
      </c>
      <c r="B177" s="52">
        <v>24.974744444444443</v>
      </c>
      <c r="C177" s="73">
        <v>27.827926440410415</v>
      </c>
      <c r="D177" s="53">
        <v>-29.7</v>
      </c>
      <c r="E177" s="74">
        <v>0.08</v>
      </c>
      <c r="F177" s="74">
        <v>0.59</v>
      </c>
      <c r="G177" s="53">
        <v>7.4</v>
      </c>
      <c r="H177" s="73">
        <v>4.4000000000000004</v>
      </c>
      <c r="I177" s="53" t="s">
        <v>488</v>
      </c>
      <c r="J177" s="33"/>
    </row>
    <row r="178" spans="1:10" x14ac:dyDescent="0.2">
      <c r="A178" s="72" t="s">
        <v>139</v>
      </c>
      <c r="B178" s="52">
        <v>25.113244444444444</v>
      </c>
      <c r="C178" s="73">
        <v>29.210320010982468</v>
      </c>
      <c r="D178" s="53">
        <v>-29.5</v>
      </c>
      <c r="E178" s="74">
        <v>7.0000000000000007E-2</v>
      </c>
      <c r="F178" s="74">
        <v>0.54</v>
      </c>
      <c r="G178" s="53">
        <v>7.7</v>
      </c>
      <c r="H178" s="73">
        <v>3.8</v>
      </c>
      <c r="I178" s="53" t="s">
        <v>488</v>
      </c>
      <c r="J178" s="33"/>
    </row>
    <row r="179" spans="1:10" x14ac:dyDescent="0.2">
      <c r="A179" s="72" t="s">
        <v>140</v>
      </c>
      <c r="B179" s="52">
        <v>25.251744444444444</v>
      </c>
      <c r="C179" s="73">
        <v>27.259231901840479</v>
      </c>
      <c r="D179" s="53">
        <v>-29.7</v>
      </c>
      <c r="E179" s="74">
        <v>0.08</v>
      </c>
      <c r="F179" s="74">
        <v>0.64</v>
      </c>
      <c r="G179" s="53">
        <v>8</v>
      </c>
      <c r="H179" s="73">
        <v>4.5</v>
      </c>
      <c r="I179" s="53" t="s">
        <v>488</v>
      </c>
      <c r="J179" s="33"/>
    </row>
    <row r="180" spans="1:10" x14ac:dyDescent="0.2">
      <c r="A180" s="72" t="s">
        <v>141</v>
      </c>
      <c r="B180" s="52">
        <v>25.390244444444445</v>
      </c>
      <c r="C180" s="73">
        <v>26.657521974074623</v>
      </c>
      <c r="D180" s="53">
        <v>-29.2</v>
      </c>
      <c r="E180" s="74">
        <v>0.09</v>
      </c>
      <c r="F180" s="74">
        <v>0.65</v>
      </c>
      <c r="G180" s="53">
        <v>7.2</v>
      </c>
      <c r="H180" s="73">
        <v>3.6</v>
      </c>
      <c r="I180" s="53" t="s">
        <v>488</v>
      </c>
      <c r="J180" s="33"/>
    </row>
    <row r="181" spans="1:10" x14ac:dyDescent="0.2">
      <c r="A181" s="72" t="s">
        <v>142</v>
      </c>
      <c r="B181" s="52">
        <v>25.528744444444445</v>
      </c>
      <c r="C181" s="73">
        <v>39.234282352941193</v>
      </c>
      <c r="D181" s="53">
        <v>-29.7</v>
      </c>
      <c r="E181" s="74">
        <v>7.0000000000000007E-2</v>
      </c>
      <c r="F181" s="74">
        <v>0.54</v>
      </c>
      <c r="G181" s="53">
        <v>7.7</v>
      </c>
      <c r="H181" s="73">
        <v>4.4000000000000004</v>
      </c>
      <c r="I181" s="53" t="s">
        <v>488</v>
      </c>
      <c r="J181" s="33"/>
    </row>
    <row r="182" spans="1:10" x14ac:dyDescent="0.2">
      <c r="A182" s="72" t="s">
        <v>143</v>
      </c>
      <c r="B182" s="52">
        <v>25.667244444444446</v>
      </c>
      <c r="C182" s="73">
        <v>25.675889841986447</v>
      </c>
      <c r="D182" s="53">
        <v>-29.6</v>
      </c>
      <c r="E182" s="74">
        <v>0.08</v>
      </c>
      <c r="F182" s="74">
        <v>0.53</v>
      </c>
      <c r="G182" s="53">
        <v>6.6</v>
      </c>
      <c r="H182" s="73">
        <v>3.9</v>
      </c>
      <c r="I182" s="53" t="s">
        <v>488</v>
      </c>
      <c r="J182" s="33"/>
    </row>
    <row r="183" spans="1:10" x14ac:dyDescent="0.2">
      <c r="A183" s="72" t="s">
        <v>144</v>
      </c>
      <c r="B183" s="52">
        <v>25.805744444444443</v>
      </c>
      <c r="C183" s="73">
        <v>23.782434657650015</v>
      </c>
      <c r="D183" s="53">
        <v>-30.1</v>
      </c>
      <c r="E183" s="74">
        <v>7.0000000000000007E-2</v>
      </c>
      <c r="F183" s="74">
        <v>0.65</v>
      </c>
      <c r="G183" s="53">
        <v>9.3000000000000007</v>
      </c>
      <c r="H183" s="73">
        <v>4.5</v>
      </c>
      <c r="I183" s="53" t="s">
        <v>488</v>
      </c>
      <c r="J183" s="33"/>
    </row>
    <row r="184" spans="1:10" x14ac:dyDescent="0.2">
      <c r="A184" s="72" t="s">
        <v>145</v>
      </c>
      <c r="B184" s="52">
        <v>25.944244444444443</v>
      </c>
      <c r="C184" s="73">
        <v>34.337037614678856</v>
      </c>
      <c r="D184" s="53">
        <v>-29.6</v>
      </c>
      <c r="E184" s="74">
        <v>0.08</v>
      </c>
      <c r="F184" s="74">
        <v>0.63</v>
      </c>
      <c r="G184" s="53">
        <v>7.9</v>
      </c>
      <c r="H184" s="73">
        <v>4.3</v>
      </c>
      <c r="I184" s="53" t="s">
        <v>488</v>
      </c>
      <c r="J184" s="33"/>
    </row>
    <row r="185" spans="1:10" x14ac:dyDescent="0.2">
      <c r="A185" s="72" t="s">
        <v>146</v>
      </c>
      <c r="B185" s="52">
        <v>26.082744444444444</v>
      </c>
      <c r="C185" s="73">
        <v>30.641307764777412</v>
      </c>
      <c r="D185" s="53">
        <v>-29.6</v>
      </c>
      <c r="E185" s="74">
        <v>7.0000000000000007E-2</v>
      </c>
      <c r="F185" s="74">
        <v>0.46</v>
      </c>
      <c r="G185" s="53">
        <v>6.6</v>
      </c>
      <c r="H185" s="73">
        <v>5.0999999999999996</v>
      </c>
      <c r="I185" s="53" t="s">
        <v>488</v>
      </c>
      <c r="J185" s="33"/>
    </row>
    <row r="186" spans="1:10" x14ac:dyDescent="0.2">
      <c r="A186" s="72" t="s">
        <v>147</v>
      </c>
      <c r="B186" s="52">
        <v>26.221244444444444</v>
      </c>
      <c r="C186" s="73">
        <v>28.966741901040198</v>
      </c>
      <c r="D186" s="53">
        <v>-29.2</v>
      </c>
      <c r="E186" s="74">
        <v>7.0000000000000007E-2</v>
      </c>
      <c r="F186" s="74">
        <v>0.43</v>
      </c>
      <c r="G186" s="53">
        <v>6.1</v>
      </c>
      <c r="H186" s="73">
        <v>4.5999999999999996</v>
      </c>
      <c r="I186" s="53" t="s">
        <v>488</v>
      </c>
      <c r="J186" s="33"/>
    </row>
    <row r="187" spans="1:10" x14ac:dyDescent="0.2">
      <c r="A187" s="72" t="s">
        <v>148</v>
      </c>
      <c r="B187" s="52">
        <v>26.261057471264365</v>
      </c>
      <c r="C187" s="73">
        <v>12.655695383978454</v>
      </c>
      <c r="D187" s="53">
        <v>-27.3</v>
      </c>
      <c r="E187" s="74">
        <v>0.08</v>
      </c>
      <c r="F187" s="74">
        <v>0.28000000000000003</v>
      </c>
      <c r="G187" s="53">
        <v>3.5</v>
      </c>
      <c r="H187" s="73">
        <v>8.3000000000000007</v>
      </c>
      <c r="I187" s="53" t="s">
        <v>488</v>
      </c>
      <c r="J187" s="33"/>
    </row>
    <row r="188" spans="1:10" x14ac:dyDescent="0.2">
      <c r="A188" s="72" t="s">
        <v>149</v>
      </c>
      <c r="B188" s="52">
        <v>26.33870964517741</v>
      </c>
      <c r="C188" s="73">
        <v>7.390225663716814</v>
      </c>
      <c r="D188" s="53">
        <v>-28.6</v>
      </c>
      <c r="E188" s="74">
        <v>0.06</v>
      </c>
      <c r="F188" s="74">
        <v>0.44</v>
      </c>
      <c r="G188" s="53">
        <v>7.3</v>
      </c>
      <c r="H188" s="73">
        <v>14.8</v>
      </c>
      <c r="I188" s="53" t="s">
        <v>488</v>
      </c>
      <c r="J188" s="33"/>
    </row>
    <row r="189" spans="1:10" x14ac:dyDescent="0.2">
      <c r="A189" s="72" t="s">
        <v>150</v>
      </c>
      <c r="B189" s="52">
        <v>26.416361819090451</v>
      </c>
      <c r="C189" s="73">
        <v>7.2330204368861395</v>
      </c>
      <c r="D189" s="53">
        <v>-28.7</v>
      </c>
      <c r="E189" s="74">
        <v>0.09</v>
      </c>
      <c r="F189" s="74">
        <v>0.72</v>
      </c>
      <c r="G189" s="53">
        <v>8</v>
      </c>
      <c r="H189" s="73">
        <v>12.7</v>
      </c>
      <c r="I189" s="53" t="s">
        <v>488</v>
      </c>
      <c r="J189" s="33"/>
    </row>
    <row r="190" spans="1:10" x14ac:dyDescent="0.2">
      <c r="A190" s="72" t="s">
        <v>151</v>
      </c>
      <c r="B190" s="52">
        <v>26.494013993003495</v>
      </c>
      <c r="C190" s="73">
        <v>7.4642259187621054</v>
      </c>
      <c r="D190" s="53">
        <v>-28.6</v>
      </c>
      <c r="E190" s="74">
        <v>7.0000000000000007E-2</v>
      </c>
      <c r="F190" s="74">
        <v>0.63</v>
      </c>
      <c r="G190" s="53">
        <v>9</v>
      </c>
      <c r="H190" s="73">
        <v>11.3</v>
      </c>
      <c r="I190" s="53" t="s">
        <v>488</v>
      </c>
      <c r="J190" s="33"/>
    </row>
    <row r="191" spans="1:10" x14ac:dyDescent="0.2">
      <c r="A191" s="72" t="s">
        <v>152</v>
      </c>
      <c r="B191" s="52">
        <v>26.57166616691654</v>
      </c>
      <c r="C191" s="73">
        <v>10.36040951825078</v>
      </c>
      <c r="D191" s="53">
        <v>-28.8</v>
      </c>
      <c r="E191" s="74">
        <v>0.06</v>
      </c>
      <c r="F191" s="74">
        <v>0.36</v>
      </c>
      <c r="G191" s="53">
        <v>6</v>
      </c>
      <c r="H191" s="73">
        <v>11.2</v>
      </c>
      <c r="I191" s="53" t="s">
        <v>488</v>
      </c>
      <c r="J191" s="33"/>
    </row>
    <row r="192" spans="1:10" x14ac:dyDescent="0.2">
      <c r="A192" s="72" t="s">
        <v>153</v>
      </c>
      <c r="B192" s="52">
        <v>26.649318340829584</v>
      </c>
      <c r="C192" s="73">
        <v>11.927638798456151</v>
      </c>
      <c r="D192" s="53">
        <v>-29.8</v>
      </c>
      <c r="E192" s="74">
        <v>0.1</v>
      </c>
      <c r="F192" s="74">
        <v>0.64</v>
      </c>
      <c r="G192" s="53">
        <v>6.4</v>
      </c>
      <c r="H192" s="73">
        <v>9.6</v>
      </c>
      <c r="I192" s="53" t="s">
        <v>488</v>
      </c>
      <c r="J192" s="33"/>
    </row>
    <row r="193" spans="1:10" x14ac:dyDescent="0.2">
      <c r="A193" s="72" t="s">
        <v>154</v>
      </c>
      <c r="B193" s="52">
        <v>26.726970514742625</v>
      </c>
      <c r="C193" s="73">
        <v>9.8251601928098591</v>
      </c>
      <c r="D193" s="53">
        <v>-29.6</v>
      </c>
      <c r="E193" s="74">
        <v>0.1</v>
      </c>
      <c r="F193" s="74">
        <v>1.05</v>
      </c>
      <c r="G193" s="53">
        <v>10.5</v>
      </c>
      <c r="H193" s="73">
        <v>9</v>
      </c>
      <c r="I193" s="53" t="s">
        <v>488</v>
      </c>
      <c r="J193" s="33"/>
    </row>
    <row r="194" spans="1:10" x14ac:dyDescent="0.2">
      <c r="A194" s="72" t="s">
        <v>155</v>
      </c>
      <c r="B194" s="52">
        <v>26.80462268865567</v>
      </c>
      <c r="C194" s="73">
        <v>8.8819583458441542</v>
      </c>
      <c r="D194" s="53">
        <v>-29.2</v>
      </c>
      <c r="E194" s="74">
        <v>0.18</v>
      </c>
      <c r="F194" s="74">
        <v>3.79</v>
      </c>
      <c r="G194" s="53">
        <v>21.1</v>
      </c>
      <c r="H194" s="73">
        <v>19.8</v>
      </c>
      <c r="I194" s="53" t="s">
        <v>488</v>
      </c>
      <c r="J194" s="33"/>
    </row>
    <row r="195" spans="1:10" x14ac:dyDescent="0.2">
      <c r="A195" s="72" t="s">
        <v>156</v>
      </c>
      <c r="B195" s="52">
        <v>26.882274862568714</v>
      </c>
      <c r="C195" s="73">
        <v>9.5863678714859279</v>
      </c>
      <c r="D195" s="53">
        <v>-30.1</v>
      </c>
      <c r="E195" s="74">
        <v>0.12</v>
      </c>
      <c r="F195" s="74">
        <v>2.62</v>
      </c>
      <c r="G195" s="53">
        <v>21.8</v>
      </c>
      <c r="H195" s="73">
        <v>13</v>
      </c>
      <c r="I195" s="53" t="s">
        <v>488</v>
      </c>
      <c r="J195" s="33"/>
    </row>
    <row r="196" spans="1:10" x14ac:dyDescent="0.2">
      <c r="A196" s="72" t="s">
        <v>157</v>
      </c>
      <c r="B196" s="52">
        <v>26.959927036481758</v>
      </c>
      <c r="C196" s="73">
        <v>5.9499239055173376</v>
      </c>
      <c r="D196" s="53">
        <v>-29.7</v>
      </c>
      <c r="E196" s="74">
        <v>0.09</v>
      </c>
      <c r="F196" s="74">
        <v>1.68</v>
      </c>
      <c r="G196" s="53">
        <v>18.7</v>
      </c>
      <c r="H196" s="73">
        <v>10.6</v>
      </c>
      <c r="I196" s="53" t="s">
        <v>488</v>
      </c>
      <c r="J196" s="33"/>
    </row>
    <row r="197" spans="1:10" x14ac:dyDescent="0.2">
      <c r="A197" s="72" t="s">
        <v>158</v>
      </c>
      <c r="B197" s="52">
        <v>27.037579210394799</v>
      </c>
      <c r="C197" s="73">
        <v>11.392204767652339</v>
      </c>
      <c r="D197" s="53">
        <v>-29.4</v>
      </c>
      <c r="E197" s="74">
        <v>0.15</v>
      </c>
      <c r="F197" s="74">
        <v>3.6</v>
      </c>
      <c r="G197" s="53">
        <v>24</v>
      </c>
      <c r="H197" s="73">
        <v>19.3</v>
      </c>
      <c r="I197" s="53" t="s">
        <v>488</v>
      </c>
      <c r="J197" s="33"/>
    </row>
    <row r="198" spans="1:10" x14ac:dyDescent="0.2">
      <c r="A198" s="72" t="s">
        <v>159</v>
      </c>
      <c r="B198" s="52">
        <v>27.115231384307844</v>
      </c>
      <c r="C198" s="73">
        <v>8.8909140478668203</v>
      </c>
      <c r="D198" s="53">
        <v>-29.7</v>
      </c>
      <c r="E198" s="74">
        <v>0.12</v>
      </c>
      <c r="F198" s="74">
        <v>2.64</v>
      </c>
      <c r="G198" s="53">
        <v>22</v>
      </c>
      <c r="H198" s="73">
        <v>12.9</v>
      </c>
      <c r="I198" s="53" t="s">
        <v>488</v>
      </c>
      <c r="J198" s="33"/>
    </row>
    <row r="199" spans="1:10" x14ac:dyDescent="0.2">
      <c r="A199" s="72" t="s">
        <v>160</v>
      </c>
      <c r="B199" s="52">
        <v>27.192883558220888</v>
      </c>
      <c r="C199" s="73">
        <v>8.4002145761481106</v>
      </c>
      <c r="D199" s="53">
        <v>-30.3</v>
      </c>
      <c r="E199" s="74">
        <v>0.13</v>
      </c>
      <c r="F199" s="74">
        <v>1.8</v>
      </c>
      <c r="G199" s="53">
        <v>13.8</v>
      </c>
      <c r="H199" s="73">
        <v>13</v>
      </c>
      <c r="I199" s="53" t="s">
        <v>488</v>
      </c>
      <c r="J199" s="33"/>
    </row>
    <row r="200" spans="1:10" x14ac:dyDescent="0.2">
      <c r="A200" s="72" t="s">
        <v>161</v>
      </c>
      <c r="B200" s="52">
        <v>27.270535732133929</v>
      </c>
      <c r="C200" s="73">
        <v>11.871676366353519</v>
      </c>
      <c r="D200" s="53">
        <v>-30.5</v>
      </c>
      <c r="E200" s="74">
        <v>7.0000000000000007E-2</v>
      </c>
      <c r="F200" s="74">
        <v>1.35</v>
      </c>
      <c r="G200" s="53">
        <v>19.3</v>
      </c>
      <c r="H200" s="73">
        <v>11.3</v>
      </c>
      <c r="I200" s="53" t="s">
        <v>488</v>
      </c>
      <c r="J200" s="33"/>
    </row>
    <row r="201" spans="1:10" x14ac:dyDescent="0.2">
      <c r="A201" s="72" t="s">
        <v>162</v>
      </c>
      <c r="B201" s="52">
        <v>27.348187906046974</v>
      </c>
      <c r="C201" s="73">
        <v>29.709095792711505</v>
      </c>
      <c r="D201" s="53">
        <v>-29.8</v>
      </c>
      <c r="E201" s="74">
        <v>0.06</v>
      </c>
      <c r="F201" s="74">
        <v>0.6</v>
      </c>
      <c r="G201" s="53">
        <v>10</v>
      </c>
      <c r="H201" s="73">
        <v>4.9000000000000004</v>
      </c>
      <c r="I201" s="53" t="s">
        <v>488</v>
      </c>
      <c r="J201" s="33"/>
    </row>
    <row r="202" spans="1:10" x14ac:dyDescent="0.2">
      <c r="A202" s="72" t="s">
        <v>163</v>
      </c>
      <c r="B202" s="52">
        <v>27.425840079960018</v>
      </c>
      <c r="C202" s="73">
        <v>25.148530003135132</v>
      </c>
      <c r="D202" s="53">
        <v>-29.2</v>
      </c>
      <c r="E202" s="74">
        <v>0.06</v>
      </c>
      <c r="F202" s="74">
        <v>0.63</v>
      </c>
      <c r="G202" s="53">
        <v>10.5</v>
      </c>
      <c r="H202" s="73">
        <v>5.3</v>
      </c>
      <c r="I202" s="53" t="s">
        <v>488</v>
      </c>
      <c r="J202" s="33"/>
    </row>
    <row r="203" spans="1:10" x14ac:dyDescent="0.2">
      <c r="A203" s="72" t="s">
        <v>164</v>
      </c>
      <c r="B203" s="52">
        <v>27.503492253873063</v>
      </c>
      <c r="C203" s="73">
        <v>37.283553482303049</v>
      </c>
      <c r="D203" s="53">
        <v>-29.9</v>
      </c>
      <c r="E203" s="74">
        <v>7.0000000000000007E-2</v>
      </c>
      <c r="F203" s="74">
        <v>0.57999999999999996</v>
      </c>
      <c r="G203" s="53">
        <v>8.3000000000000007</v>
      </c>
      <c r="H203" s="73">
        <v>4.5999999999999996</v>
      </c>
      <c r="I203" s="53" t="s">
        <v>488</v>
      </c>
      <c r="J203" s="33"/>
    </row>
    <row r="204" spans="1:10" x14ac:dyDescent="0.2">
      <c r="A204" s="72" t="s">
        <v>165</v>
      </c>
      <c r="B204" s="52">
        <v>27.581144427786104</v>
      </c>
      <c r="C204" s="73">
        <v>23.897674956217131</v>
      </c>
      <c r="D204" s="53">
        <v>-29.8</v>
      </c>
      <c r="E204" s="74">
        <v>0.08</v>
      </c>
      <c r="F204" s="74">
        <v>0.63</v>
      </c>
      <c r="G204" s="53">
        <v>7.9</v>
      </c>
      <c r="H204" s="73">
        <v>6.6</v>
      </c>
      <c r="I204" s="53" t="s">
        <v>488</v>
      </c>
      <c r="J204" s="33"/>
    </row>
    <row r="205" spans="1:10" x14ac:dyDescent="0.2">
      <c r="A205" s="72" t="s">
        <v>166</v>
      </c>
      <c r="B205" s="52">
        <v>27.658796601699148</v>
      </c>
      <c r="C205" s="73">
        <v>19.273180296385195</v>
      </c>
      <c r="D205" s="53">
        <v>-29.5</v>
      </c>
      <c r="E205" s="74">
        <v>0.06</v>
      </c>
      <c r="F205" s="74">
        <v>0.51</v>
      </c>
      <c r="G205" s="53">
        <v>8.5</v>
      </c>
      <c r="H205" s="73">
        <v>5.4</v>
      </c>
      <c r="I205" s="53" t="s">
        <v>488</v>
      </c>
      <c r="J205" s="33"/>
    </row>
    <row r="206" spans="1:10" x14ac:dyDescent="0.2">
      <c r="A206" s="72" t="s">
        <v>167</v>
      </c>
      <c r="B206" s="52">
        <v>27.736448775612192</v>
      </c>
      <c r="C206" s="73">
        <v>12.925240449906276</v>
      </c>
      <c r="D206" s="53">
        <v>-29.7</v>
      </c>
      <c r="E206" s="74">
        <v>7.0000000000000007E-2</v>
      </c>
      <c r="F206" s="74">
        <v>0.69</v>
      </c>
      <c r="G206" s="53">
        <v>9.9</v>
      </c>
      <c r="H206" s="73">
        <v>6.7</v>
      </c>
      <c r="I206" s="53" t="s">
        <v>488</v>
      </c>
      <c r="J206" s="33"/>
    </row>
    <row r="207" spans="1:10" x14ac:dyDescent="0.2">
      <c r="A207" s="72" t="s">
        <v>168</v>
      </c>
      <c r="B207" s="52">
        <v>27.814100949525237</v>
      </c>
      <c r="C207" s="73">
        <v>18.946625885295308</v>
      </c>
      <c r="D207" s="53">
        <v>-29.2</v>
      </c>
      <c r="E207" s="74">
        <v>7.0000000000000007E-2</v>
      </c>
      <c r="F207" s="74">
        <v>0.68</v>
      </c>
      <c r="G207" s="53">
        <v>9.6999999999999993</v>
      </c>
      <c r="H207" s="73">
        <v>5.4</v>
      </c>
      <c r="I207" s="53" t="s">
        <v>488</v>
      </c>
      <c r="J207" s="33"/>
    </row>
    <row r="208" spans="1:10" x14ac:dyDescent="0.2">
      <c r="A208" s="72" t="s">
        <v>169</v>
      </c>
      <c r="B208" s="52">
        <v>27.891753123438278</v>
      </c>
      <c r="C208" s="73">
        <v>20.572953374423765</v>
      </c>
      <c r="D208" s="53">
        <v>-29.3</v>
      </c>
      <c r="E208" s="74">
        <v>7.0000000000000007E-2</v>
      </c>
      <c r="F208" s="74">
        <v>0.63</v>
      </c>
      <c r="G208" s="53">
        <v>9</v>
      </c>
      <c r="H208" s="73">
        <v>5.5</v>
      </c>
      <c r="I208" s="53" t="s">
        <v>488</v>
      </c>
      <c r="J208" s="33"/>
    </row>
    <row r="209" spans="1:10" x14ac:dyDescent="0.2">
      <c r="A209" s="72" t="s">
        <v>170</v>
      </c>
      <c r="B209" s="52">
        <v>27.969405297351322</v>
      </c>
      <c r="C209" s="73">
        <v>20.933476869484412</v>
      </c>
      <c r="D209" s="53">
        <v>-29</v>
      </c>
      <c r="E209" s="74">
        <v>0.06</v>
      </c>
      <c r="F209" s="74">
        <v>0.55000000000000004</v>
      </c>
      <c r="G209" s="53">
        <v>9.1999999999999993</v>
      </c>
      <c r="H209" s="73">
        <v>5.4</v>
      </c>
      <c r="I209" s="53" t="s">
        <v>488</v>
      </c>
      <c r="J209" s="33"/>
    </row>
    <row r="210" spans="1:10" x14ac:dyDescent="0.2">
      <c r="A210" s="72" t="s">
        <v>171</v>
      </c>
      <c r="B210" s="52">
        <v>28.047057471264367</v>
      </c>
      <c r="C210" s="73">
        <v>21.085267845031371</v>
      </c>
      <c r="D210" s="53">
        <v>-29.3</v>
      </c>
      <c r="E210" s="74">
        <v>0.06</v>
      </c>
      <c r="F210" s="74">
        <v>0.55000000000000004</v>
      </c>
      <c r="G210" s="53">
        <v>9.1999999999999993</v>
      </c>
      <c r="H210" s="73">
        <v>4.8</v>
      </c>
      <c r="I210" s="53" t="s">
        <v>488</v>
      </c>
      <c r="J210" s="33"/>
    </row>
    <row r="211" spans="1:10" x14ac:dyDescent="0.2">
      <c r="A211" s="72" t="s">
        <v>172</v>
      </c>
      <c r="B211" s="52">
        <v>28.124709645177411</v>
      </c>
      <c r="C211" s="73">
        <v>19.454066863049668</v>
      </c>
      <c r="D211" s="53">
        <v>-29.3</v>
      </c>
      <c r="E211" s="74">
        <v>0.06</v>
      </c>
      <c r="F211" s="74">
        <v>0.54</v>
      </c>
      <c r="G211" s="53">
        <v>9</v>
      </c>
      <c r="H211" s="73">
        <v>4.9000000000000004</v>
      </c>
      <c r="I211" s="53" t="s">
        <v>488</v>
      </c>
      <c r="J211" s="33"/>
    </row>
    <row r="212" spans="1:10" x14ac:dyDescent="0.2">
      <c r="A212" s="72" t="s">
        <v>173</v>
      </c>
      <c r="B212" s="52">
        <v>28.202361819090452</v>
      </c>
      <c r="C212" s="73">
        <v>18.030603189392593</v>
      </c>
      <c r="D212" s="53">
        <v>-29.5</v>
      </c>
      <c r="E212" s="74">
        <v>0.08</v>
      </c>
      <c r="F212" s="74">
        <v>0.74</v>
      </c>
      <c r="G212" s="53">
        <v>9.3000000000000007</v>
      </c>
      <c r="H212" s="73">
        <v>5.3</v>
      </c>
      <c r="I212" s="53" t="s">
        <v>488</v>
      </c>
      <c r="J212" s="33"/>
    </row>
    <row r="213" spans="1:10" x14ac:dyDescent="0.2">
      <c r="A213" s="72" t="s">
        <v>174</v>
      </c>
      <c r="B213" s="52">
        <v>28.280013993003497</v>
      </c>
      <c r="C213" s="73">
        <v>17.059466821615295</v>
      </c>
      <c r="D213" s="53">
        <v>-29.3</v>
      </c>
      <c r="E213" s="74">
        <v>0.06</v>
      </c>
      <c r="F213" s="74">
        <v>0.52</v>
      </c>
      <c r="G213" s="53">
        <v>8.6999999999999993</v>
      </c>
      <c r="H213" s="73">
        <v>5.6</v>
      </c>
      <c r="I213" s="53" t="s">
        <v>488</v>
      </c>
      <c r="J213" s="33"/>
    </row>
    <row r="214" spans="1:10" x14ac:dyDescent="0.2">
      <c r="A214" s="72" t="s">
        <v>175</v>
      </c>
      <c r="B214" s="52">
        <v>28.357666166916541</v>
      </c>
      <c r="C214" s="73">
        <v>15.926984713569354</v>
      </c>
      <c r="D214" s="53">
        <v>-29.2</v>
      </c>
      <c r="E214" s="74">
        <v>7.0000000000000007E-2</v>
      </c>
      <c r="F214" s="74">
        <v>0.67</v>
      </c>
      <c r="G214" s="53">
        <v>9.6</v>
      </c>
      <c r="H214" s="73">
        <v>5.4</v>
      </c>
      <c r="I214" s="53" t="s">
        <v>488</v>
      </c>
      <c r="J214" s="33"/>
    </row>
    <row r="215" spans="1:10" x14ac:dyDescent="0.2">
      <c r="A215" s="72" t="s">
        <v>176</v>
      </c>
      <c r="B215" s="52">
        <v>28.435318340829582</v>
      </c>
      <c r="C215" s="73">
        <v>16.45270456852791</v>
      </c>
      <c r="D215" s="53">
        <v>-28.9</v>
      </c>
      <c r="E215" s="74">
        <v>0.05</v>
      </c>
      <c r="F215" s="74">
        <v>0.54</v>
      </c>
      <c r="G215" s="53">
        <v>10.8</v>
      </c>
      <c r="H215" s="73">
        <v>4.8</v>
      </c>
      <c r="I215" s="53" t="s">
        <v>488</v>
      </c>
      <c r="J215" s="33"/>
    </row>
    <row r="216" spans="1:10" x14ac:dyDescent="0.2">
      <c r="A216" s="72" t="s">
        <v>177</v>
      </c>
      <c r="B216" s="52">
        <v>28.512970514742626</v>
      </c>
      <c r="C216" s="73">
        <v>16.601363103635343</v>
      </c>
      <c r="D216" s="53">
        <v>-29</v>
      </c>
      <c r="E216" s="74">
        <v>0.08</v>
      </c>
      <c r="F216" s="74">
        <v>0.6</v>
      </c>
      <c r="G216" s="53">
        <v>7.5</v>
      </c>
      <c r="H216" s="73">
        <v>4.3</v>
      </c>
      <c r="I216" s="53" t="s">
        <v>488</v>
      </c>
      <c r="J216" s="33"/>
    </row>
    <row r="217" spans="1:10" x14ac:dyDescent="0.2">
      <c r="A217" s="72" t="s">
        <v>178</v>
      </c>
      <c r="B217" s="52">
        <v>28.590622688655671</v>
      </c>
      <c r="C217" s="73">
        <v>16.250340625000018</v>
      </c>
      <c r="D217" s="53">
        <v>-28.9</v>
      </c>
      <c r="E217" s="74">
        <v>0.1</v>
      </c>
      <c r="F217" s="74">
        <v>0.84</v>
      </c>
      <c r="G217" s="53">
        <v>8.4</v>
      </c>
      <c r="H217" s="73">
        <v>7.9</v>
      </c>
      <c r="I217" s="53" t="s">
        <v>488</v>
      </c>
      <c r="J217" s="33"/>
    </row>
    <row r="218" spans="1:10" x14ac:dyDescent="0.2">
      <c r="A218" s="72" t="s">
        <v>179</v>
      </c>
      <c r="B218" s="52">
        <v>28.668274862568715</v>
      </c>
      <c r="C218" s="73">
        <v>14.416452581261968</v>
      </c>
      <c r="D218" s="53">
        <v>-29.3</v>
      </c>
      <c r="E218" s="74">
        <v>0.09</v>
      </c>
      <c r="F218" s="74">
        <v>0.94</v>
      </c>
      <c r="G218" s="53">
        <v>10.4</v>
      </c>
      <c r="H218" s="73">
        <v>6.4</v>
      </c>
      <c r="I218" s="53" t="s">
        <v>488</v>
      </c>
      <c r="J218" s="33"/>
    </row>
    <row r="219" spans="1:10" x14ac:dyDescent="0.2">
      <c r="A219" s="72" t="s">
        <v>180</v>
      </c>
      <c r="B219" s="52">
        <v>28.74592703648176</v>
      </c>
      <c r="C219" s="73">
        <v>15.844238444422935</v>
      </c>
      <c r="D219" s="53">
        <v>-29</v>
      </c>
      <c r="E219" s="74">
        <v>7.0000000000000007E-2</v>
      </c>
      <c r="F219" s="74">
        <v>0.85</v>
      </c>
      <c r="G219" s="53">
        <v>12.1</v>
      </c>
      <c r="H219" s="73">
        <v>6.1</v>
      </c>
      <c r="I219" s="53" t="s">
        <v>488</v>
      </c>
      <c r="J219" s="33"/>
    </row>
    <row r="220" spans="1:10" x14ac:dyDescent="0.2">
      <c r="A220" s="72" t="s">
        <v>181</v>
      </c>
      <c r="B220" s="52">
        <v>28.823579210394801</v>
      </c>
      <c r="C220" s="73">
        <v>23.724355526730278</v>
      </c>
      <c r="D220" s="53">
        <v>-29.2</v>
      </c>
      <c r="E220" s="74">
        <v>0.05</v>
      </c>
      <c r="F220" s="74">
        <v>0.42</v>
      </c>
      <c r="G220" s="53">
        <v>8.4</v>
      </c>
      <c r="H220" s="73">
        <v>4.3</v>
      </c>
      <c r="I220" s="53" t="s">
        <v>488</v>
      </c>
      <c r="J220" s="33"/>
    </row>
    <row r="221" spans="1:10" x14ac:dyDescent="0.2">
      <c r="A221" s="72" t="s">
        <v>182</v>
      </c>
      <c r="B221" s="52">
        <v>28.901231384307845</v>
      </c>
      <c r="C221" s="73">
        <v>26.569472368752852</v>
      </c>
      <c r="D221" s="53">
        <v>-29.1</v>
      </c>
      <c r="E221" s="74">
        <v>0.06</v>
      </c>
      <c r="F221" s="74">
        <v>0.47</v>
      </c>
      <c r="G221" s="53">
        <v>7.8</v>
      </c>
      <c r="H221" s="73">
        <v>4.8</v>
      </c>
      <c r="I221" s="53" t="s">
        <v>488</v>
      </c>
      <c r="J221" s="33"/>
    </row>
    <row r="222" spans="1:10" x14ac:dyDescent="0.2">
      <c r="A222" s="72" t="s">
        <v>183</v>
      </c>
      <c r="B222" s="52">
        <v>28.97888355822089</v>
      </c>
      <c r="C222" s="73">
        <v>32.980503032820906</v>
      </c>
      <c r="D222" s="53">
        <v>-29.4</v>
      </c>
      <c r="E222" s="74">
        <v>7.0000000000000007E-2</v>
      </c>
      <c r="F222" s="74">
        <v>0.46</v>
      </c>
      <c r="G222" s="53">
        <v>6.6</v>
      </c>
      <c r="H222" s="73">
        <v>4.4000000000000004</v>
      </c>
      <c r="I222" s="53" t="s">
        <v>488</v>
      </c>
      <c r="J222" s="33"/>
    </row>
    <row r="223" spans="1:10" x14ac:dyDescent="0.2">
      <c r="A223" s="72" t="s">
        <v>184</v>
      </c>
      <c r="B223" s="52">
        <v>29.056535732133931</v>
      </c>
      <c r="C223" s="73">
        <v>29.258112011215118</v>
      </c>
      <c r="D223" s="53">
        <v>-29</v>
      </c>
      <c r="E223" s="74">
        <v>7.0000000000000007E-2</v>
      </c>
      <c r="F223" s="74">
        <v>0.65</v>
      </c>
      <c r="G223" s="53">
        <v>9.3000000000000007</v>
      </c>
      <c r="H223" s="73">
        <v>5.2</v>
      </c>
      <c r="I223" s="53" t="s">
        <v>488</v>
      </c>
      <c r="J223" s="33"/>
    </row>
    <row r="224" spans="1:10" x14ac:dyDescent="0.2">
      <c r="A224" s="72" t="s">
        <v>185</v>
      </c>
      <c r="B224" s="52">
        <v>29.134187906046975</v>
      </c>
      <c r="C224" s="73">
        <v>27.298375011811608</v>
      </c>
      <c r="D224" s="53">
        <v>-28.9</v>
      </c>
      <c r="E224" s="74">
        <v>0.05</v>
      </c>
      <c r="F224" s="74">
        <v>0.44</v>
      </c>
      <c r="G224" s="53">
        <v>8.8000000000000007</v>
      </c>
      <c r="H224" s="73">
        <v>4.5</v>
      </c>
      <c r="I224" s="53" t="s">
        <v>488</v>
      </c>
      <c r="J224" s="33"/>
    </row>
    <row r="225" spans="1:10" x14ac:dyDescent="0.2">
      <c r="A225" s="72" t="s">
        <v>186</v>
      </c>
      <c r="B225" s="52">
        <v>29.21184007996002</v>
      </c>
      <c r="C225" s="73">
        <v>28.230496156039695</v>
      </c>
      <c r="D225" s="53">
        <v>-28.9</v>
      </c>
      <c r="E225" s="74">
        <v>0.05</v>
      </c>
      <c r="F225" s="74">
        <v>0.41</v>
      </c>
      <c r="G225" s="53">
        <v>8.1999999999999993</v>
      </c>
      <c r="H225" s="73">
        <v>4</v>
      </c>
      <c r="I225" s="53" t="s">
        <v>488</v>
      </c>
      <c r="J225" s="33"/>
    </row>
    <row r="226" spans="1:10" x14ac:dyDescent="0.2">
      <c r="A226" s="72" t="s">
        <v>187</v>
      </c>
      <c r="B226" s="52">
        <v>29.289492253873064</v>
      </c>
      <c r="C226" s="73">
        <v>29.024640452616691</v>
      </c>
      <c r="D226" s="53">
        <v>-29.2</v>
      </c>
      <c r="E226" s="74">
        <v>0.08</v>
      </c>
      <c r="F226" s="74">
        <v>0.62</v>
      </c>
      <c r="G226" s="53">
        <v>7.8</v>
      </c>
      <c r="H226" s="73">
        <v>4.9000000000000004</v>
      </c>
      <c r="I226" s="53" t="s">
        <v>488</v>
      </c>
      <c r="J226" s="33"/>
    </row>
    <row r="227" spans="1:10" x14ac:dyDescent="0.2">
      <c r="A227" s="72" t="s">
        <v>188</v>
      </c>
      <c r="B227" s="52">
        <v>29.367144427786105</v>
      </c>
      <c r="C227" s="73">
        <v>27.561529259363567</v>
      </c>
      <c r="D227" s="53">
        <v>-29</v>
      </c>
      <c r="E227" s="74">
        <v>0.1</v>
      </c>
      <c r="F227" s="74">
        <v>0.56000000000000005</v>
      </c>
      <c r="G227" s="53">
        <v>5.6</v>
      </c>
      <c r="H227" s="73">
        <v>4.7</v>
      </c>
      <c r="I227" s="53" t="s">
        <v>488</v>
      </c>
      <c r="J227" s="33"/>
    </row>
    <row r="228" spans="1:10" x14ac:dyDescent="0.2">
      <c r="A228" s="72" t="s">
        <v>189</v>
      </c>
      <c r="B228" s="52">
        <v>29.444796601699149</v>
      </c>
      <c r="C228" s="73">
        <v>23.443890607295451</v>
      </c>
      <c r="D228" s="53">
        <v>-29</v>
      </c>
      <c r="E228" s="74">
        <v>0.06</v>
      </c>
      <c r="F228" s="74">
        <v>0.47</v>
      </c>
      <c r="G228" s="53">
        <v>7.8</v>
      </c>
      <c r="H228" s="73">
        <v>6.1</v>
      </c>
      <c r="I228" s="53" t="s">
        <v>488</v>
      </c>
      <c r="J228" s="33"/>
    </row>
    <row r="229" spans="1:10" x14ac:dyDescent="0.2">
      <c r="A229" s="72" t="s">
        <v>190</v>
      </c>
      <c r="B229" s="52">
        <v>29.522448775612194</v>
      </c>
      <c r="C229" s="73">
        <v>23.007835705631315</v>
      </c>
      <c r="D229" s="53">
        <v>-28.8</v>
      </c>
      <c r="E229" s="74">
        <v>0.05</v>
      </c>
      <c r="F229" s="74">
        <v>0.46</v>
      </c>
      <c r="G229" s="53">
        <v>9.1999999999999993</v>
      </c>
      <c r="H229" s="73">
        <v>4.3</v>
      </c>
      <c r="I229" s="53" t="s">
        <v>488</v>
      </c>
      <c r="J229" s="33"/>
    </row>
    <row r="230" spans="1:10" x14ac:dyDescent="0.2">
      <c r="A230" s="72" t="s">
        <v>191</v>
      </c>
      <c r="B230" s="52">
        <v>29.600100949525235</v>
      </c>
      <c r="C230" s="73">
        <v>22.521641907377074</v>
      </c>
      <c r="D230" s="53">
        <v>-28.8</v>
      </c>
      <c r="E230" s="74">
        <v>0.06</v>
      </c>
      <c r="F230" s="74">
        <v>0.42</v>
      </c>
      <c r="G230" s="53">
        <v>7</v>
      </c>
      <c r="H230" s="73">
        <v>6.8</v>
      </c>
      <c r="I230" s="53" t="s">
        <v>488</v>
      </c>
      <c r="J230" s="33"/>
    </row>
    <row r="231" spans="1:10" x14ac:dyDescent="0.2">
      <c r="A231" s="72" t="s">
        <v>192</v>
      </c>
      <c r="B231" s="52">
        <v>29.677753123438279</v>
      </c>
      <c r="C231" s="73">
        <v>21.625653202279455</v>
      </c>
      <c r="D231" s="53">
        <v>-28.6</v>
      </c>
      <c r="E231" s="74">
        <v>0.06</v>
      </c>
      <c r="F231" s="74">
        <v>0.35</v>
      </c>
      <c r="G231" s="53">
        <v>5.8</v>
      </c>
      <c r="H231" s="73">
        <v>6.3</v>
      </c>
      <c r="I231" s="53" t="s">
        <v>488</v>
      </c>
      <c r="J231" s="33"/>
    </row>
    <row r="232" spans="1:10" x14ac:dyDescent="0.2">
      <c r="A232" s="72" t="s">
        <v>193</v>
      </c>
      <c r="B232" s="52">
        <v>29.755405297351324</v>
      </c>
      <c r="C232" s="73">
        <v>36.216032067741061</v>
      </c>
      <c r="D232" s="53">
        <v>-28.9</v>
      </c>
      <c r="E232" s="74">
        <v>0.06</v>
      </c>
      <c r="F232" s="74">
        <v>0.46</v>
      </c>
      <c r="G232" s="53">
        <v>7.7</v>
      </c>
      <c r="H232" s="73">
        <v>3.3</v>
      </c>
      <c r="I232" s="53" t="s">
        <v>488</v>
      </c>
      <c r="J232" s="33"/>
    </row>
    <row r="233" spans="1:10" x14ac:dyDescent="0.2">
      <c r="A233" s="72" t="s">
        <v>194</v>
      </c>
      <c r="B233" s="52">
        <v>29.833057471264365</v>
      </c>
      <c r="C233" s="73">
        <v>28.898413692087281</v>
      </c>
      <c r="D233" s="53">
        <v>-28.6</v>
      </c>
      <c r="E233" s="74">
        <v>7.0000000000000007E-2</v>
      </c>
      <c r="F233" s="74">
        <v>0.45</v>
      </c>
      <c r="G233" s="53">
        <v>6.4</v>
      </c>
      <c r="H233" s="73">
        <v>5.0999999999999996</v>
      </c>
      <c r="I233" s="53" t="s">
        <v>488</v>
      </c>
      <c r="J233" s="33"/>
    </row>
    <row r="234" spans="1:10" x14ac:dyDescent="0.2">
      <c r="A234" s="72" t="s">
        <v>195</v>
      </c>
      <c r="B234" s="52">
        <v>29.886404255319146</v>
      </c>
      <c r="C234" s="73">
        <v>70.197051705650694</v>
      </c>
      <c r="D234" s="53">
        <v>-27.3</v>
      </c>
      <c r="E234" s="74">
        <v>0.04</v>
      </c>
      <c r="F234" s="74">
        <v>0.24</v>
      </c>
      <c r="G234" s="53">
        <v>6</v>
      </c>
      <c r="H234" s="73">
        <v>2.5</v>
      </c>
      <c r="I234" s="53" t="s">
        <v>488</v>
      </c>
      <c r="J234" s="33"/>
    </row>
    <row r="235" spans="1:10" x14ac:dyDescent="0.2">
      <c r="A235" s="72" t="s">
        <v>196</v>
      </c>
      <c r="B235" s="52">
        <v>29.98458944050433</v>
      </c>
      <c r="C235" s="73">
        <v>85.305451400818441</v>
      </c>
      <c r="D235" s="53">
        <v>-26.9</v>
      </c>
      <c r="E235" s="74">
        <v>0.06</v>
      </c>
      <c r="F235" s="74">
        <v>0.5</v>
      </c>
      <c r="G235" s="53">
        <v>8.3000000000000007</v>
      </c>
      <c r="H235" s="73">
        <v>0.7</v>
      </c>
      <c r="I235" s="53" t="s">
        <v>488</v>
      </c>
      <c r="J235" s="33"/>
    </row>
    <row r="236" spans="1:10" x14ac:dyDescent="0.2">
      <c r="A236" s="72" t="s">
        <v>197</v>
      </c>
      <c r="B236" s="52">
        <v>30.082774625689517</v>
      </c>
      <c r="C236" s="73">
        <v>77.992902932687812</v>
      </c>
      <c r="D236" s="53">
        <v>-26.4</v>
      </c>
      <c r="E236" s="74">
        <v>0.06</v>
      </c>
      <c r="F236" s="74">
        <v>0.33</v>
      </c>
      <c r="G236" s="53">
        <v>5.5</v>
      </c>
      <c r="H236" s="73">
        <v>1</v>
      </c>
      <c r="I236" s="53" t="s">
        <v>488</v>
      </c>
      <c r="J236" s="33"/>
    </row>
    <row r="237" spans="1:10" x14ac:dyDescent="0.2">
      <c r="A237" s="72" t="s">
        <v>198</v>
      </c>
      <c r="B237" s="52">
        <v>30.1809598108747</v>
      </c>
      <c r="C237" s="73">
        <v>79.80983259385664</v>
      </c>
      <c r="D237" s="53">
        <v>-26.5</v>
      </c>
      <c r="E237" s="74">
        <v>0.06</v>
      </c>
      <c r="F237" s="74">
        <v>0.34</v>
      </c>
      <c r="G237" s="53">
        <v>5.7</v>
      </c>
      <c r="H237" s="73">
        <v>1.7</v>
      </c>
      <c r="I237" s="53" t="s">
        <v>488</v>
      </c>
      <c r="J237" s="33"/>
    </row>
    <row r="238" spans="1:10" x14ac:dyDescent="0.2">
      <c r="A238" s="72" t="s">
        <v>199</v>
      </c>
      <c r="B238" s="52">
        <v>30.279144996059888</v>
      </c>
      <c r="C238" s="73">
        <v>57.64628151717833</v>
      </c>
      <c r="D238" s="53">
        <v>-25.7</v>
      </c>
      <c r="E238" s="74">
        <v>0.08</v>
      </c>
      <c r="F238" s="74">
        <v>0.19</v>
      </c>
      <c r="G238" s="53">
        <v>2.4</v>
      </c>
      <c r="H238" s="73">
        <v>1.2</v>
      </c>
      <c r="I238" s="53" t="s">
        <v>488</v>
      </c>
      <c r="J238" s="33"/>
    </row>
    <row r="239" spans="1:10" x14ac:dyDescent="0.2">
      <c r="A239" s="72" t="s">
        <v>200</v>
      </c>
      <c r="B239" s="52">
        <v>30.377330181245071</v>
      </c>
      <c r="C239" s="73">
        <v>61.548055384337268</v>
      </c>
      <c r="D239" s="53">
        <v>-25.9</v>
      </c>
      <c r="E239" s="74">
        <v>0.06</v>
      </c>
      <c r="F239" s="74">
        <v>0.14000000000000001</v>
      </c>
      <c r="G239" s="53">
        <v>2.2999999999999998</v>
      </c>
      <c r="H239" s="73">
        <v>2.2999999999999998</v>
      </c>
      <c r="I239" s="53" t="s">
        <v>488</v>
      </c>
      <c r="J239" s="33"/>
    </row>
    <row r="240" spans="1:10" x14ac:dyDescent="0.2">
      <c r="A240" s="72" t="s">
        <v>201</v>
      </c>
      <c r="B240" s="52">
        <v>30.475515366430258</v>
      </c>
      <c r="C240" s="73">
        <v>66.519883721647858</v>
      </c>
      <c r="D240" s="53">
        <v>-25.3</v>
      </c>
      <c r="E240" s="74">
        <v>0.06</v>
      </c>
      <c r="F240" s="74">
        <v>0.14000000000000001</v>
      </c>
      <c r="G240" s="53">
        <v>2.2999999999999998</v>
      </c>
      <c r="H240" s="73">
        <v>2.1</v>
      </c>
      <c r="I240" s="53" t="s">
        <v>488</v>
      </c>
      <c r="J240" s="33"/>
    </row>
    <row r="241" spans="1:10" x14ac:dyDescent="0.2">
      <c r="A241" s="35" t="s">
        <v>202</v>
      </c>
      <c r="B241" s="32">
        <v>30.573700551615442</v>
      </c>
      <c r="C241" s="66">
        <v>63.139800371574573</v>
      </c>
      <c r="D241" s="33">
        <v>-25.1</v>
      </c>
      <c r="E241" s="67">
        <v>0.06</v>
      </c>
      <c r="F241" s="67">
        <v>0.17</v>
      </c>
      <c r="G241" s="33">
        <v>2.8</v>
      </c>
      <c r="H241" s="66">
        <v>1.9</v>
      </c>
      <c r="J241" s="33"/>
    </row>
    <row r="242" spans="1:10" x14ac:dyDescent="0.2">
      <c r="A242" s="35" t="s">
        <v>203</v>
      </c>
      <c r="B242" s="32">
        <v>30.671885736800629</v>
      </c>
      <c r="C242" s="66">
        <v>63.964471523270305</v>
      </c>
      <c r="D242" s="33">
        <v>-25.1</v>
      </c>
      <c r="E242" s="67">
        <v>0.06</v>
      </c>
      <c r="F242" s="67">
        <v>0.15</v>
      </c>
      <c r="G242" s="33">
        <v>2.5</v>
      </c>
      <c r="H242" s="66">
        <v>2</v>
      </c>
      <c r="J242" s="33"/>
    </row>
    <row r="243" spans="1:10" x14ac:dyDescent="0.2">
      <c r="A243" s="35" t="s">
        <v>204</v>
      </c>
      <c r="B243" s="32">
        <v>30.770070921985813</v>
      </c>
      <c r="C243" s="66">
        <v>64.748847971936996</v>
      </c>
      <c r="D243" s="33">
        <v>-25.4</v>
      </c>
      <c r="E243" s="67">
        <v>7.0000000000000007E-2</v>
      </c>
      <c r="F243" s="67">
        <v>0.18</v>
      </c>
      <c r="G243" s="33">
        <v>2.6</v>
      </c>
      <c r="H243" s="66">
        <v>1.8</v>
      </c>
      <c r="J243" s="33"/>
    </row>
    <row r="244" spans="1:10" x14ac:dyDescent="0.2">
      <c r="A244" s="35" t="s">
        <v>205</v>
      </c>
      <c r="B244" s="32">
        <v>30.868256107170996</v>
      </c>
      <c r="C244" s="66">
        <v>61.462896112666797</v>
      </c>
      <c r="D244" s="33">
        <v>-25.4</v>
      </c>
      <c r="E244" s="67">
        <v>0.08</v>
      </c>
      <c r="F244" s="67">
        <v>0.23</v>
      </c>
      <c r="G244" s="33">
        <v>2.9</v>
      </c>
      <c r="H244" s="66">
        <v>2.1</v>
      </c>
      <c r="J244" s="33"/>
    </row>
    <row r="245" spans="1:10" x14ac:dyDescent="0.2">
      <c r="A245" s="35" t="s">
        <v>206</v>
      </c>
      <c r="B245" s="32">
        <v>30.966441292356183</v>
      </c>
      <c r="C245" s="66">
        <v>61.778752153110048</v>
      </c>
      <c r="D245" s="33">
        <v>-25.3</v>
      </c>
      <c r="E245" s="67">
        <v>0.1</v>
      </c>
      <c r="F245" s="67">
        <v>0.31</v>
      </c>
      <c r="G245" s="33">
        <v>3.1</v>
      </c>
      <c r="H245" s="66">
        <v>1.5</v>
      </c>
      <c r="J245" s="33"/>
    </row>
    <row r="246" spans="1:10" x14ac:dyDescent="0.2">
      <c r="A246" s="35" t="s">
        <v>207</v>
      </c>
      <c r="B246" s="32">
        <v>31.064626477541367</v>
      </c>
      <c r="C246" s="66">
        <v>68.892953773897645</v>
      </c>
      <c r="D246" s="33">
        <v>-25.5</v>
      </c>
      <c r="E246" s="67">
        <v>0.06</v>
      </c>
      <c r="F246" s="67">
        <v>0.15</v>
      </c>
      <c r="G246" s="33">
        <v>2.5</v>
      </c>
      <c r="H246" s="66">
        <v>1.9</v>
      </c>
      <c r="J246" s="33"/>
    </row>
    <row r="247" spans="1:10" x14ac:dyDescent="0.2">
      <c r="A247" s="35" t="s">
        <v>208</v>
      </c>
      <c r="B247" s="32">
        <v>31.162811662726554</v>
      </c>
      <c r="C247" s="66">
        <v>79.619541030221839</v>
      </c>
      <c r="D247" s="33">
        <v>-26.1</v>
      </c>
      <c r="E247" s="67">
        <v>0.06</v>
      </c>
      <c r="F247" s="67">
        <v>0.2</v>
      </c>
      <c r="G247" s="33">
        <v>3.3</v>
      </c>
      <c r="H247" s="66">
        <v>1.2</v>
      </c>
      <c r="J247" s="33"/>
    </row>
    <row r="248" spans="1:10" x14ac:dyDescent="0.2">
      <c r="A248" s="35" t="s">
        <v>209</v>
      </c>
      <c r="B248" s="32">
        <v>31.260996847911738</v>
      </c>
      <c r="C248" s="66">
        <v>45.589128456049124</v>
      </c>
      <c r="D248" s="33">
        <v>0</v>
      </c>
      <c r="E248" s="67">
        <v>0.05</v>
      </c>
      <c r="F248" s="67">
        <v>0</v>
      </c>
      <c r="G248" s="33">
        <v>0</v>
      </c>
      <c r="H248" s="66">
        <v>1.5</v>
      </c>
      <c r="J248" s="33"/>
    </row>
    <row r="249" spans="1:10" x14ac:dyDescent="0.2">
      <c r="A249" s="35" t="s">
        <v>210</v>
      </c>
      <c r="B249" s="32">
        <v>31.359182033096925</v>
      </c>
      <c r="C249" s="66">
        <v>44.366070004791581</v>
      </c>
      <c r="D249" s="33">
        <v>-25.4</v>
      </c>
      <c r="E249" s="67">
        <v>0.08</v>
      </c>
      <c r="F249" s="67">
        <v>0.14000000000000001</v>
      </c>
      <c r="G249" s="33">
        <v>1.8</v>
      </c>
      <c r="H249" s="66">
        <v>1.3</v>
      </c>
      <c r="J249" s="33"/>
    </row>
    <row r="250" spans="1:10" x14ac:dyDescent="0.2">
      <c r="A250" s="35" t="s">
        <v>211</v>
      </c>
      <c r="B250" s="32">
        <v>31.457367218282108</v>
      </c>
      <c r="C250" s="66">
        <v>42.215142781083614</v>
      </c>
      <c r="D250" s="33">
        <v>-25.6</v>
      </c>
      <c r="E250" s="67">
        <v>0.08</v>
      </c>
      <c r="F250" s="67">
        <v>0.12</v>
      </c>
      <c r="G250" s="33">
        <v>1.5</v>
      </c>
      <c r="H250" s="66">
        <v>2.1</v>
      </c>
      <c r="J250" s="33"/>
    </row>
    <row r="251" spans="1:10" x14ac:dyDescent="0.2">
      <c r="A251" s="35" t="s">
        <v>212</v>
      </c>
      <c r="B251" s="32">
        <v>31.555552403467296</v>
      </c>
      <c r="C251" s="66">
        <v>56.729268934329525</v>
      </c>
      <c r="D251" s="33">
        <v>-25.9</v>
      </c>
      <c r="E251" s="67">
        <v>0.08</v>
      </c>
      <c r="F251" s="67">
        <v>0.12</v>
      </c>
      <c r="G251" s="33">
        <v>1.5</v>
      </c>
      <c r="H251" s="66">
        <v>1.2</v>
      </c>
      <c r="J251" s="33"/>
    </row>
    <row r="252" spans="1:10" x14ac:dyDescent="0.2">
      <c r="A252" s="35" t="s">
        <v>213</v>
      </c>
      <c r="B252" s="32">
        <v>31.653737588652479</v>
      </c>
      <c r="C252" s="66">
        <v>48.717040829422459</v>
      </c>
      <c r="D252" s="33">
        <v>-24.9</v>
      </c>
      <c r="E252" s="67">
        <v>7.0000000000000007E-2</v>
      </c>
      <c r="F252" s="67">
        <v>0.1</v>
      </c>
      <c r="G252" s="33">
        <v>1.4</v>
      </c>
      <c r="H252" s="66">
        <v>1.4</v>
      </c>
      <c r="J252" s="33"/>
    </row>
    <row r="253" spans="1:10" x14ac:dyDescent="0.2">
      <c r="A253" s="35" t="s">
        <v>214</v>
      </c>
      <c r="B253" s="32">
        <v>31.751922773837666</v>
      </c>
      <c r="C253" s="66">
        <v>42.950614761024582</v>
      </c>
      <c r="D253" s="33">
        <v>-25.3</v>
      </c>
      <c r="E253" s="67">
        <v>0.06</v>
      </c>
      <c r="F253" s="67">
        <v>0.08</v>
      </c>
      <c r="G253" s="33">
        <v>1.3</v>
      </c>
      <c r="H253" s="66">
        <v>1.5</v>
      </c>
      <c r="J253" s="33"/>
    </row>
    <row r="254" spans="1:10" x14ac:dyDescent="0.2">
      <c r="A254" s="35" t="s">
        <v>215</v>
      </c>
      <c r="B254" s="32">
        <v>31.85010795902285</v>
      </c>
      <c r="C254" s="66">
        <v>44.615184371442481</v>
      </c>
      <c r="D254" s="33">
        <v>-25.3</v>
      </c>
      <c r="E254" s="67">
        <v>7.0000000000000007E-2</v>
      </c>
      <c r="F254" s="67">
        <v>0.09</v>
      </c>
      <c r="G254" s="33">
        <v>1.3</v>
      </c>
      <c r="H254" s="66">
        <v>2</v>
      </c>
      <c r="J254" s="33"/>
    </row>
    <row r="255" spans="1:10" x14ac:dyDescent="0.2">
      <c r="A255" s="35" t="s">
        <v>216</v>
      </c>
      <c r="B255" s="32">
        <v>31.948293144208034</v>
      </c>
      <c r="C255" s="66">
        <v>41.573796595789261</v>
      </c>
      <c r="D255" s="33">
        <v>-25.6</v>
      </c>
      <c r="E255" s="67">
        <v>0.06</v>
      </c>
      <c r="F255" s="67">
        <v>0.08</v>
      </c>
      <c r="G255" s="33">
        <v>1.3</v>
      </c>
      <c r="H255" s="66">
        <v>0.4</v>
      </c>
      <c r="J255" s="33"/>
    </row>
    <row r="256" spans="1:10" x14ac:dyDescent="0.2">
      <c r="A256" s="35" t="s">
        <v>217</v>
      </c>
      <c r="B256" s="32">
        <v>32.046478329393224</v>
      </c>
      <c r="C256" s="66">
        <v>39.41993568215895</v>
      </c>
      <c r="D256" s="33">
        <v>-25.8</v>
      </c>
      <c r="E256" s="67">
        <v>0.06</v>
      </c>
      <c r="F256" s="67">
        <v>0.08</v>
      </c>
      <c r="G256" s="33">
        <v>1.3</v>
      </c>
      <c r="H256" s="66">
        <v>0.8</v>
      </c>
      <c r="J256" s="33"/>
    </row>
    <row r="257" spans="1:10" x14ac:dyDescent="0.2">
      <c r="A257" s="35" t="s">
        <v>218</v>
      </c>
      <c r="B257" s="32">
        <v>32.144663514578411</v>
      </c>
      <c r="C257" s="66">
        <v>45.325913857016772</v>
      </c>
      <c r="D257" s="33">
        <v>-25.6</v>
      </c>
      <c r="E257" s="67">
        <v>7.0000000000000007E-2</v>
      </c>
      <c r="F257" s="67">
        <v>0.11</v>
      </c>
      <c r="G257" s="33">
        <v>1.6</v>
      </c>
      <c r="H257" s="66">
        <v>0.3</v>
      </c>
      <c r="J257" s="33"/>
    </row>
    <row r="258" spans="1:10" x14ac:dyDescent="0.2">
      <c r="A258" s="35" t="s">
        <v>219</v>
      </c>
      <c r="B258" s="32">
        <v>32.242848699763591</v>
      </c>
      <c r="C258" s="66">
        <v>60.987865235194789</v>
      </c>
      <c r="D258" s="33">
        <v>-25.3</v>
      </c>
      <c r="E258" s="67">
        <v>0.06</v>
      </c>
      <c r="F258" s="67">
        <v>0.11</v>
      </c>
      <c r="G258" s="33">
        <v>1.8</v>
      </c>
      <c r="H258" s="66">
        <v>1.6</v>
      </c>
      <c r="J258" s="33"/>
    </row>
    <row r="259" spans="1:10" x14ac:dyDescent="0.2">
      <c r="A259" s="35" t="s">
        <v>220</v>
      </c>
      <c r="B259" s="32">
        <v>32.341033884948779</v>
      </c>
      <c r="C259" s="66">
        <v>62.48204081891096</v>
      </c>
      <c r="D259" s="33">
        <v>-25.1</v>
      </c>
      <c r="E259" s="67">
        <v>0.06</v>
      </c>
      <c r="F259" s="67">
        <v>0.12</v>
      </c>
      <c r="G259" s="33">
        <v>2</v>
      </c>
      <c r="H259" s="66">
        <v>1.2</v>
      </c>
      <c r="J259" s="33"/>
    </row>
    <row r="260" spans="1:10" x14ac:dyDescent="0.2">
      <c r="A260" s="35" t="s">
        <v>221</v>
      </c>
      <c r="B260" s="32">
        <v>32.439219070133966</v>
      </c>
      <c r="C260" s="66">
        <v>57.997287624826811</v>
      </c>
      <c r="D260" s="33">
        <v>-25.6</v>
      </c>
      <c r="E260" s="67">
        <v>0.06</v>
      </c>
      <c r="F260" s="67">
        <v>0.11</v>
      </c>
      <c r="G260" s="33">
        <v>1.8</v>
      </c>
      <c r="H260" s="66">
        <v>0.8</v>
      </c>
      <c r="J260" s="33"/>
    </row>
    <row r="261" spans="1:10" x14ac:dyDescent="0.2">
      <c r="A261" s="35" t="s">
        <v>222</v>
      </c>
      <c r="B261" s="32">
        <v>32.537404255319153</v>
      </c>
      <c r="C261" s="66">
        <v>51.41826415872562</v>
      </c>
      <c r="D261" s="33">
        <v>-25.4</v>
      </c>
      <c r="E261" s="67">
        <v>7.0000000000000007E-2</v>
      </c>
      <c r="F261" s="67">
        <v>0.11</v>
      </c>
      <c r="G261" s="33">
        <v>1.6</v>
      </c>
      <c r="H261" s="66">
        <v>0.7</v>
      </c>
      <c r="J261" s="33"/>
    </row>
    <row r="262" spans="1:10" x14ac:dyDescent="0.2">
      <c r="A262" s="35" t="s">
        <v>223</v>
      </c>
      <c r="B262" s="32">
        <v>32.591671428571431</v>
      </c>
      <c r="C262" s="66">
        <v>30.397682618823143</v>
      </c>
      <c r="D262" s="33">
        <v>-25.4</v>
      </c>
      <c r="E262" s="67">
        <v>7.0000000000000007E-2</v>
      </c>
      <c r="F262" s="67">
        <v>0.17</v>
      </c>
      <c r="G262" s="33">
        <v>2.4</v>
      </c>
      <c r="H262" s="66">
        <v>1.7</v>
      </c>
      <c r="J262" s="33"/>
    </row>
    <row r="263" spans="1:10" x14ac:dyDescent="0.2">
      <c r="A263" s="35" t="s">
        <v>224</v>
      </c>
      <c r="B263" s="32">
        <v>32.708348847926267</v>
      </c>
      <c r="C263" s="66">
        <v>31.935125224532907</v>
      </c>
      <c r="D263" s="33">
        <v>-25.2</v>
      </c>
      <c r="E263" s="67">
        <v>0.09</v>
      </c>
      <c r="F263" s="67">
        <v>0.17</v>
      </c>
      <c r="G263" s="33">
        <v>1.9</v>
      </c>
      <c r="H263" s="66">
        <v>1.7</v>
      </c>
      <c r="J263" s="33"/>
    </row>
    <row r="264" spans="1:10" x14ac:dyDescent="0.2">
      <c r="A264" s="35" t="s">
        <v>225</v>
      </c>
      <c r="B264" s="32">
        <v>32.82502626728111</v>
      </c>
      <c r="C264" s="66">
        <v>32.008666015787256</v>
      </c>
      <c r="D264" s="33">
        <v>-25.5</v>
      </c>
      <c r="E264" s="67">
        <v>0.1</v>
      </c>
      <c r="F264" s="67">
        <v>0.23</v>
      </c>
      <c r="G264" s="33">
        <v>2.2999999999999998</v>
      </c>
      <c r="H264" s="66">
        <v>1.9</v>
      </c>
      <c r="J264" s="33"/>
    </row>
    <row r="265" spans="1:10" x14ac:dyDescent="0.2">
      <c r="A265" s="35" t="s">
        <v>226</v>
      </c>
      <c r="B265" s="32">
        <v>32.941703686635947</v>
      </c>
      <c r="D265" s="33">
        <v>-25.3</v>
      </c>
      <c r="E265" s="67">
        <v>0.05</v>
      </c>
      <c r="F265" s="67">
        <v>0.08</v>
      </c>
      <c r="G265" s="33">
        <v>1.6</v>
      </c>
      <c r="H265" s="66">
        <v>1.6</v>
      </c>
      <c r="J265" s="33"/>
    </row>
    <row r="266" spans="1:10" x14ac:dyDescent="0.2">
      <c r="A266" s="35" t="s">
        <v>227</v>
      </c>
      <c r="B266" s="32">
        <v>33.058381105990783</v>
      </c>
      <c r="C266" s="32">
        <v>34.703460493827151</v>
      </c>
      <c r="D266" s="33">
        <v>-24.9</v>
      </c>
      <c r="E266" s="67">
        <v>0.06</v>
      </c>
      <c r="F266" s="67">
        <v>0.09</v>
      </c>
      <c r="G266" s="33">
        <v>1.5</v>
      </c>
      <c r="H266" s="66">
        <v>1.4</v>
      </c>
      <c r="J266" s="33"/>
    </row>
    <row r="267" spans="1:10" x14ac:dyDescent="0.2">
      <c r="A267" s="35" t="s">
        <v>228</v>
      </c>
      <c r="B267" s="32">
        <v>33.175058525345626</v>
      </c>
      <c r="C267" s="32">
        <v>30.704427659574481</v>
      </c>
      <c r="D267" s="33">
        <v>-25.2</v>
      </c>
      <c r="E267" s="67">
        <v>0.06</v>
      </c>
      <c r="F267" s="67">
        <v>0.1</v>
      </c>
      <c r="G267" s="33">
        <v>1.7</v>
      </c>
      <c r="H267" s="66">
        <v>2.7</v>
      </c>
      <c r="J267" s="33"/>
    </row>
    <row r="268" spans="1:10" x14ac:dyDescent="0.2">
      <c r="A268" s="35" t="s">
        <v>229</v>
      </c>
      <c r="B268" s="32">
        <v>33.291735944700463</v>
      </c>
      <c r="C268" s="32">
        <v>31.222469151589078</v>
      </c>
      <c r="D268" s="33">
        <v>-24.8</v>
      </c>
      <c r="E268" s="67">
        <v>0.06</v>
      </c>
      <c r="F268" s="67">
        <v>0.1</v>
      </c>
      <c r="G268" s="33">
        <v>1.7</v>
      </c>
      <c r="H268" s="66">
        <v>1.8</v>
      </c>
      <c r="J268" s="33"/>
    </row>
    <row r="269" spans="1:10" x14ac:dyDescent="0.2">
      <c r="A269" s="35" t="s">
        <v>230</v>
      </c>
      <c r="B269" s="32">
        <v>33.408413364055299</v>
      </c>
      <c r="C269" s="32">
        <v>33.123695726320122</v>
      </c>
      <c r="D269" s="33">
        <v>-24.9</v>
      </c>
      <c r="E269" s="67">
        <v>0.09</v>
      </c>
      <c r="F269" s="67">
        <v>0.17</v>
      </c>
      <c r="G269" s="33">
        <v>1.9</v>
      </c>
      <c r="H269" s="66">
        <v>1.4</v>
      </c>
      <c r="J269" s="33"/>
    </row>
    <row r="270" spans="1:10" x14ac:dyDescent="0.2">
      <c r="A270" s="35" t="s">
        <v>231</v>
      </c>
      <c r="B270" s="32">
        <v>33.525090783410143</v>
      </c>
      <c r="C270" s="32">
        <v>34.044662106910565</v>
      </c>
      <c r="D270" s="33">
        <v>-25.5</v>
      </c>
      <c r="E270" s="67">
        <v>0.09</v>
      </c>
      <c r="F270" s="67">
        <v>0.18</v>
      </c>
      <c r="G270" s="33">
        <v>2</v>
      </c>
      <c r="H270" s="66">
        <v>2</v>
      </c>
      <c r="J270" s="33"/>
    </row>
    <row r="271" spans="1:10" x14ac:dyDescent="0.2">
      <c r="A271" s="35" t="s">
        <v>232</v>
      </c>
      <c r="B271" s="32">
        <v>33.641768202764979</v>
      </c>
      <c r="C271" s="32">
        <v>33.726589193302871</v>
      </c>
      <c r="D271" s="33">
        <v>-25.1</v>
      </c>
      <c r="E271" s="67">
        <v>0.06</v>
      </c>
      <c r="F271" s="67">
        <v>0.09</v>
      </c>
      <c r="G271" s="33">
        <v>1.5</v>
      </c>
      <c r="H271" s="66">
        <v>0.5</v>
      </c>
      <c r="J271" s="33"/>
    </row>
    <row r="272" spans="1:10" x14ac:dyDescent="0.2">
      <c r="A272" s="35" t="s">
        <v>233</v>
      </c>
      <c r="B272" s="32">
        <v>33.758445622119815</v>
      </c>
      <c r="C272" s="32">
        <v>31.85524817306219</v>
      </c>
      <c r="D272" s="33">
        <v>-25.3</v>
      </c>
      <c r="E272" s="67">
        <v>7.0000000000000007E-2</v>
      </c>
      <c r="F272" s="67">
        <v>0.1</v>
      </c>
      <c r="G272" s="33">
        <v>1.4</v>
      </c>
      <c r="H272" s="66">
        <v>1.3</v>
      </c>
      <c r="J272" s="33"/>
    </row>
    <row r="273" spans="1:10" x14ac:dyDescent="0.2">
      <c r="A273" s="35" t="s">
        <v>234</v>
      </c>
      <c r="B273" s="32">
        <v>33.875123041474659</v>
      </c>
      <c r="C273" s="32">
        <v>30.882592308512326</v>
      </c>
      <c r="D273" s="33">
        <v>-24.5</v>
      </c>
      <c r="E273" s="67">
        <v>0.05</v>
      </c>
      <c r="F273" s="67">
        <v>0.08</v>
      </c>
      <c r="G273" s="33">
        <v>1.6</v>
      </c>
      <c r="H273" s="66">
        <v>2.2999999999999998</v>
      </c>
      <c r="J273" s="33"/>
    </row>
    <row r="274" spans="1:10" x14ac:dyDescent="0.2">
      <c r="A274" s="35" t="s">
        <v>235</v>
      </c>
      <c r="B274" s="32">
        <v>33.991800460829495</v>
      </c>
      <c r="C274" s="32">
        <v>41.781906091064442</v>
      </c>
      <c r="D274" s="33">
        <v>-24.5</v>
      </c>
      <c r="E274" s="67">
        <v>0.05</v>
      </c>
      <c r="F274" s="67">
        <v>0.08</v>
      </c>
      <c r="G274" s="33">
        <v>1.6</v>
      </c>
      <c r="H274" s="66">
        <v>1.9</v>
      </c>
      <c r="J274" s="33"/>
    </row>
    <row r="275" spans="1:10" x14ac:dyDescent="0.2">
      <c r="A275" s="35" t="s">
        <v>236</v>
      </c>
      <c r="B275" s="32">
        <v>34.108477880184331</v>
      </c>
      <c r="C275" s="32">
        <v>35.599228679817955</v>
      </c>
      <c r="D275" s="33">
        <v>-24.6</v>
      </c>
      <c r="E275" s="67">
        <v>0.05</v>
      </c>
      <c r="F275" s="67">
        <v>0.11</v>
      </c>
      <c r="G275" s="33">
        <v>2.2000000000000002</v>
      </c>
      <c r="H275" s="66">
        <v>1.3</v>
      </c>
      <c r="J275" s="33"/>
    </row>
    <row r="276" spans="1:10" x14ac:dyDescent="0.2">
      <c r="A276" s="35" t="s">
        <v>237</v>
      </c>
      <c r="B276" s="32">
        <v>34.225155299539175</v>
      </c>
      <c r="C276" s="32">
        <v>30.239701580854042</v>
      </c>
      <c r="D276" s="33">
        <v>-24.6</v>
      </c>
      <c r="E276" s="67">
        <v>0.1</v>
      </c>
      <c r="F276" s="67">
        <v>0.15</v>
      </c>
      <c r="G276" s="33">
        <v>1.5</v>
      </c>
      <c r="H276" s="66">
        <v>1</v>
      </c>
      <c r="J276" s="33"/>
    </row>
    <row r="277" spans="1:10" x14ac:dyDescent="0.2">
      <c r="A277" s="35" t="s">
        <v>238</v>
      </c>
      <c r="B277" s="32">
        <v>34.341832718894011</v>
      </c>
      <c r="C277" s="32">
        <v>26.762580725712034</v>
      </c>
      <c r="D277" s="33">
        <v>-25</v>
      </c>
      <c r="E277" s="67">
        <v>0.09</v>
      </c>
      <c r="F277" s="67">
        <v>0.15</v>
      </c>
      <c r="G277" s="33">
        <v>1.7</v>
      </c>
      <c r="H277" s="66">
        <v>0.3</v>
      </c>
      <c r="J277" s="33"/>
    </row>
    <row r="278" spans="1:10" x14ac:dyDescent="0.2">
      <c r="A278" s="35" t="s">
        <v>239</v>
      </c>
      <c r="B278" s="32">
        <v>34.458510138248847</v>
      </c>
      <c r="C278" s="32">
        <v>24.446426973232697</v>
      </c>
      <c r="D278" s="33">
        <v>-25</v>
      </c>
      <c r="E278" s="67">
        <v>7.0000000000000007E-2</v>
      </c>
      <c r="F278" s="67">
        <v>0.09</v>
      </c>
      <c r="G278" s="33">
        <v>1.3</v>
      </c>
      <c r="H278" s="66">
        <v>0.7</v>
      </c>
      <c r="J278" s="33"/>
    </row>
    <row r="279" spans="1:10" x14ac:dyDescent="0.2">
      <c r="A279" s="35" t="s">
        <v>240</v>
      </c>
      <c r="B279" s="32">
        <v>34.575187557603691</v>
      </c>
      <c r="C279" s="32">
        <v>27.593273532796342</v>
      </c>
      <c r="D279" s="33">
        <v>-25.4</v>
      </c>
      <c r="E279" s="67">
        <v>0.06</v>
      </c>
      <c r="F279" s="67">
        <v>7.0000000000000007E-2</v>
      </c>
      <c r="G279" s="33">
        <v>1.2</v>
      </c>
      <c r="H279" s="66">
        <v>0.6</v>
      </c>
      <c r="J279" s="33"/>
    </row>
    <row r="280" spans="1:10" x14ac:dyDescent="0.2">
      <c r="A280" s="35" t="s">
        <v>241</v>
      </c>
      <c r="B280" s="32">
        <v>34.691864976958527</v>
      </c>
      <c r="C280" s="32">
        <v>27.591280473834896</v>
      </c>
      <c r="D280" s="33">
        <v>-25</v>
      </c>
      <c r="E280" s="67">
        <v>0.06</v>
      </c>
      <c r="F280" s="67">
        <v>0.1</v>
      </c>
      <c r="G280" s="33">
        <v>1.7</v>
      </c>
      <c r="H280" s="66">
        <v>0.6</v>
      </c>
      <c r="J280" s="33"/>
    </row>
    <row r="281" spans="1:10" x14ac:dyDescent="0.2">
      <c r="A281" s="35" t="s">
        <v>242</v>
      </c>
      <c r="B281" s="32">
        <v>34.808542396313364</v>
      </c>
      <c r="C281" s="32">
        <v>25.479984108339018</v>
      </c>
      <c r="D281" s="33">
        <v>-24.5</v>
      </c>
      <c r="E281" s="67">
        <v>0.04</v>
      </c>
      <c r="F281" s="67">
        <v>7.0000000000000007E-2</v>
      </c>
      <c r="G281" s="33">
        <v>1.8</v>
      </c>
      <c r="H281" s="66">
        <v>0.3</v>
      </c>
      <c r="J281" s="33"/>
    </row>
    <row r="282" spans="1:10" x14ac:dyDescent="0.2">
      <c r="A282" s="35" t="s">
        <v>247</v>
      </c>
      <c r="B282" s="32">
        <v>35.391929493087559</v>
      </c>
      <c r="C282" s="32">
        <v>21.827113837612092</v>
      </c>
      <c r="D282" s="33">
        <v>-24.7</v>
      </c>
      <c r="E282" s="67">
        <v>0.04</v>
      </c>
      <c r="F282" s="67">
        <v>0.08</v>
      </c>
      <c r="G282" s="33">
        <v>2</v>
      </c>
      <c r="H282" s="66">
        <v>0.6</v>
      </c>
      <c r="J282" s="33"/>
    </row>
    <row r="283" spans="1:10" x14ac:dyDescent="0.2">
      <c r="A283" s="35" t="s">
        <v>252</v>
      </c>
      <c r="B283" s="32">
        <v>35.975316589861755</v>
      </c>
      <c r="C283" s="32">
        <v>38.664551571147143</v>
      </c>
      <c r="D283" s="33">
        <v>-24.5</v>
      </c>
      <c r="E283" s="67">
        <v>0.04</v>
      </c>
      <c r="F283" s="67">
        <v>7.0000000000000007E-2</v>
      </c>
      <c r="G283" s="33">
        <v>1.8</v>
      </c>
      <c r="H283" s="66">
        <v>0.6</v>
      </c>
      <c r="J283" s="33"/>
    </row>
    <row r="284" spans="1:10" x14ac:dyDescent="0.2">
      <c r="A284" s="35" t="s">
        <v>257</v>
      </c>
      <c r="B284" s="32">
        <v>36.410208333333337</v>
      </c>
      <c r="C284" s="32">
        <v>32.682021165422597</v>
      </c>
      <c r="D284" s="33">
        <v>-25.3</v>
      </c>
      <c r="E284" s="67">
        <v>0.03</v>
      </c>
      <c r="F284" s="67">
        <v>0.06</v>
      </c>
      <c r="G284" s="33">
        <v>2</v>
      </c>
      <c r="H284" s="66">
        <v>1.4</v>
      </c>
      <c r="J284" s="33"/>
    </row>
    <row r="285" spans="1:10" x14ac:dyDescent="0.2">
      <c r="A285" s="35" t="s">
        <v>262</v>
      </c>
      <c r="B285" s="32">
        <v>36.813854166666665</v>
      </c>
      <c r="C285" s="32">
        <v>30.584782385959006</v>
      </c>
      <c r="D285" s="33">
        <v>-25.2</v>
      </c>
      <c r="E285" s="67">
        <v>0.03</v>
      </c>
      <c r="F285" s="67">
        <v>0.06</v>
      </c>
      <c r="G285" s="33">
        <v>2</v>
      </c>
      <c r="H285" s="66">
        <v>1.1000000000000001</v>
      </c>
      <c r="J285" s="33"/>
    </row>
    <row r="286" spans="1:10" x14ac:dyDescent="0.2">
      <c r="A286" s="35" t="s">
        <v>267</v>
      </c>
      <c r="B286" s="32">
        <v>37.217500000000001</v>
      </c>
      <c r="C286" s="32">
        <v>22.352962262156442</v>
      </c>
      <c r="D286" s="33">
        <v>-24.9</v>
      </c>
      <c r="E286" s="67">
        <v>0.03</v>
      </c>
      <c r="F286" s="67">
        <v>0.05</v>
      </c>
      <c r="G286" s="33">
        <v>1.7</v>
      </c>
      <c r="H286" s="66">
        <v>0.8</v>
      </c>
      <c r="J286" s="33"/>
    </row>
    <row r="287" spans="1:10" x14ac:dyDescent="0.2">
      <c r="A287" s="35" t="s">
        <v>272</v>
      </c>
      <c r="B287" s="32">
        <v>37.621145833333337</v>
      </c>
      <c r="C287" s="32">
        <v>35.21819829878217</v>
      </c>
      <c r="D287" s="33">
        <v>-24.6</v>
      </c>
      <c r="E287" s="67">
        <v>0.03</v>
      </c>
      <c r="F287" s="67">
        <v>0.09</v>
      </c>
      <c r="G287" s="33">
        <v>3</v>
      </c>
      <c r="H287" s="66">
        <v>2.2999999999999998</v>
      </c>
      <c r="J287" s="33"/>
    </row>
    <row r="288" spans="1:10" x14ac:dyDescent="0.2">
      <c r="A288" s="35" t="s">
        <v>277</v>
      </c>
      <c r="B288" s="32">
        <v>38.024791666666665</v>
      </c>
      <c r="C288" s="32">
        <v>45.129575838085984</v>
      </c>
      <c r="D288" s="33">
        <v>-24.3</v>
      </c>
      <c r="E288" s="67">
        <v>0.05</v>
      </c>
      <c r="F288" s="67">
        <v>0.13</v>
      </c>
      <c r="G288" s="33">
        <v>2.6</v>
      </c>
      <c r="H288" s="66">
        <v>1.5</v>
      </c>
      <c r="J288" s="33"/>
    </row>
    <row r="289" spans="1:10" x14ac:dyDescent="0.2">
      <c r="A289" s="35" t="s">
        <v>282</v>
      </c>
      <c r="B289" s="32">
        <v>38.428437500000001</v>
      </c>
      <c r="C289" s="32">
        <v>38.755804389428206</v>
      </c>
      <c r="D289" s="33">
        <v>-24.9</v>
      </c>
      <c r="E289" s="67">
        <v>0.04</v>
      </c>
      <c r="F289" s="67">
        <v>0.08</v>
      </c>
      <c r="G289" s="33">
        <v>2</v>
      </c>
      <c r="H289" s="66">
        <v>1.6</v>
      </c>
      <c r="J289" s="33"/>
    </row>
    <row r="290" spans="1:10" x14ac:dyDescent="0.2">
      <c r="A290" s="35" t="s">
        <v>287</v>
      </c>
      <c r="B290" s="32">
        <v>38.832083333333337</v>
      </c>
      <c r="C290" s="32">
        <v>44.00074009679247</v>
      </c>
      <c r="D290" s="33">
        <v>-24.6</v>
      </c>
      <c r="E290" s="67">
        <v>0.09</v>
      </c>
      <c r="F290" s="67">
        <v>0.26</v>
      </c>
      <c r="G290" s="33">
        <v>2.9</v>
      </c>
      <c r="H290" s="66">
        <v>1.6</v>
      </c>
      <c r="J290" s="33"/>
    </row>
    <row r="291" spans="1:10" x14ac:dyDescent="0.2">
      <c r="A291" s="35" t="s">
        <v>292</v>
      </c>
      <c r="B291" s="32">
        <v>39.235729166666673</v>
      </c>
      <c r="C291" s="32">
        <v>51.419898448108611</v>
      </c>
      <c r="D291" s="33">
        <v>-25.2</v>
      </c>
      <c r="E291" s="67">
        <v>0.06</v>
      </c>
      <c r="F291" s="67">
        <v>0.16</v>
      </c>
      <c r="G291" s="33">
        <v>2.7</v>
      </c>
      <c r="H291" s="66">
        <v>0.9</v>
      </c>
      <c r="J291" s="33"/>
    </row>
    <row r="292" spans="1:10" x14ac:dyDescent="0.2">
      <c r="A292" s="35" t="s">
        <v>302</v>
      </c>
      <c r="B292" s="32">
        <v>40.043020833333337</v>
      </c>
      <c r="C292" s="32">
        <v>40.442692421951421</v>
      </c>
      <c r="D292" s="33">
        <v>-25</v>
      </c>
      <c r="E292" s="67">
        <v>0.03</v>
      </c>
      <c r="F292" s="67">
        <v>0.09</v>
      </c>
      <c r="G292" s="33">
        <v>3</v>
      </c>
      <c r="H292" s="66">
        <v>1.9</v>
      </c>
      <c r="J292" s="33"/>
    </row>
    <row r="293" spans="1:10" x14ac:dyDescent="0.2">
      <c r="A293" s="35" t="s">
        <v>312</v>
      </c>
      <c r="B293" s="32">
        <v>40.49052571428571</v>
      </c>
      <c r="C293" s="32">
        <v>38.042156622114234</v>
      </c>
      <c r="D293" s="33">
        <v>-25.2</v>
      </c>
      <c r="E293" s="67">
        <v>0.05</v>
      </c>
      <c r="F293" s="67">
        <v>0.12</v>
      </c>
      <c r="G293" s="33">
        <v>2.4</v>
      </c>
      <c r="H293" s="66">
        <v>0.4</v>
      </c>
      <c r="J293" s="33"/>
    </row>
    <row r="294" spans="1:10" x14ac:dyDescent="0.2">
      <c r="A294" s="35" t="s">
        <v>322</v>
      </c>
      <c r="B294" s="32">
        <v>40.923382857142855</v>
      </c>
      <c r="C294" s="32">
        <v>43.257867245375849</v>
      </c>
      <c r="D294" s="33">
        <v>-25.2</v>
      </c>
      <c r="E294" s="67">
        <v>0.03</v>
      </c>
      <c r="F294" s="67">
        <v>0.09</v>
      </c>
      <c r="G294" s="33">
        <v>3</v>
      </c>
      <c r="H294" s="66">
        <v>1.7</v>
      </c>
      <c r="J294" s="33"/>
    </row>
    <row r="295" spans="1:10" x14ac:dyDescent="0.2">
      <c r="A295" s="35" t="s">
        <v>332</v>
      </c>
      <c r="B295" s="32">
        <v>41.35624</v>
      </c>
      <c r="C295" s="32">
        <v>37.428192430278898</v>
      </c>
      <c r="D295" s="33">
        <v>-25.5</v>
      </c>
      <c r="E295" s="67">
        <v>0.04</v>
      </c>
      <c r="F295" s="67">
        <v>0.13</v>
      </c>
      <c r="G295" s="33">
        <v>3.3</v>
      </c>
      <c r="H295" s="66">
        <v>1.9</v>
      </c>
      <c r="J295" s="33"/>
    </row>
    <row r="296" spans="1:10" x14ac:dyDescent="0.2">
      <c r="A296" s="35" t="s">
        <v>338</v>
      </c>
      <c r="B296" s="32">
        <v>41.560811111111107</v>
      </c>
      <c r="C296" s="32">
        <v>45.865665590880681</v>
      </c>
      <c r="D296" s="33">
        <v>-25.5</v>
      </c>
      <c r="E296" s="67">
        <v>0.05</v>
      </c>
      <c r="F296" s="67">
        <v>0.16</v>
      </c>
      <c r="G296" s="33">
        <v>3.2</v>
      </c>
      <c r="H296" s="66">
        <v>1.4</v>
      </c>
      <c r="J296" s="33"/>
    </row>
    <row r="297" spans="1:10" x14ac:dyDescent="0.2">
      <c r="A297" s="35" t="s">
        <v>348</v>
      </c>
      <c r="B297" s="32">
        <v>41.887755555555557</v>
      </c>
      <c r="C297" s="32">
        <v>46.578931172044122</v>
      </c>
      <c r="D297" s="33">
        <v>-25.5</v>
      </c>
      <c r="E297" s="67">
        <v>0.05</v>
      </c>
      <c r="F297" s="67">
        <v>0.14000000000000001</v>
      </c>
      <c r="G297" s="33">
        <v>2.8</v>
      </c>
      <c r="H297" s="66">
        <v>0.7</v>
      </c>
      <c r="J297" s="33"/>
    </row>
    <row r="298" spans="1:10" x14ac:dyDescent="0.2">
      <c r="A298" s="35" t="s">
        <v>356</v>
      </c>
      <c r="B298" s="32">
        <v>42.082728060671727</v>
      </c>
      <c r="C298" s="32">
        <v>58.413912126717378</v>
      </c>
      <c r="D298" s="33">
        <v>-25</v>
      </c>
      <c r="E298" s="67">
        <v>0.06</v>
      </c>
      <c r="F298" s="67">
        <v>0.22</v>
      </c>
      <c r="G298" s="33">
        <v>3.7</v>
      </c>
      <c r="H298" s="66">
        <v>0.8</v>
      </c>
      <c r="J298" s="33"/>
    </row>
    <row r="299" spans="1:10" x14ac:dyDescent="0.2">
      <c r="A299" s="35" t="s">
        <v>366</v>
      </c>
      <c r="B299" s="32">
        <v>43.009488624052004</v>
      </c>
      <c r="C299" s="32">
        <v>64.147470420592953</v>
      </c>
      <c r="D299" s="33">
        <v>-24.6</v>
      </c>
      <c r="E299" s="67">
        <v>0.1</v>
      </c>
      <c r="F299" s="67">
        <v>0.33</v>
      </c>
      <c r="G299" s="33">
        <v>3.3</v>
      </c>
      <c r="H299" s="66">
        <v>0.4</v>
      </c>
      <c r="J299" s="33"/>
    </row>
    <row r="300" spans="1:10" x14ac:dyDescent="0.2">
      <c r="A300" s="35" t="s">
        <v>376</v>
      </c>
      <c r="B300" s="32">
        <v>43.936249187432288</v>
      </c>
      <c r="C300" s="32">
        <v>47.474085058977721</v>
      </c>
      <c r="D300" s="33">
        <v>-24.3</v>
      </c>
      <c r="E300" s="67">
        <v>0.04</v>
      </c>
      <c r="F300" s="67">
        <v>0.16</v>
      </c>
      <c r="G300" s="33">
        <v>4</v>
      </c>
      <c r="H300" s="66">
        <v>0.3</v>
      </c>
      <c r="J300" s="33"/>
    </row>
    <row r="301" spans="1:10" x14ac:dyDescent="0.2">
      <c r="A301" s="35" t="s">
        <v>386</v>
      </c>
      <c r="B301" s="32">
        <v>44.863009750812573</v>
      </c>
      <c r="C301" s="32">
        <v>57.86630767585946</v>
      </c>
      <c r="D301" s="33">
        <v>-25.8</v>
      </c>
      <c r="E301" s="67">
        <v>0.06</v>
      </c>
      <c r="F301" s="67">
        <v>0.25</v>
      </c>
      <c r="G301" s="33">
        <v>4.2</v>
      </c>
      <c r="H301" s="66">
        <v>1.5</v>
      </c>
      <c r="J301" s="33"/>
    </row>
    <row r="302" spans="1:10" x14ac:dyDescent="0.2">
      <c r="A302" s="35" t="s">
        <v>396</v>
      </c>
      <c r="B302" s="32">
        <v>45.78977031419285</v>
      </c>
      <c r="C302" s="32">
        <v>61.8692176059254</v>
      </c>
      <c r="D302" s="33">
        <v>-24.8</v>
      </c>
      <c r="E302" s="67">
        <v>0.05</v>
      </c>
      <c r="F302" s="67">
        <v>0.18</v>
      </c>
      <c r="G302" s="33">
        <v>3.6</v>
      </c>
      <c r="H302" s="66">
        <v>1.1000000000000001</v>
      </c>
      <c r="J302" s="33"/>
    </row>
    <row r="303" spans="1:10" x14ac:dyDescent="0.2">
      <c r="A303" s="35" t="s">
        <v>406</v>
      </c>
      <c r="B303" s="32">
        <v>46.716530877573128</v>
      </c>
      <c r="C303" s="32">
        <v>73.392209090909105</v>
      </c>
      <c r="D303" s="33">
        <v>-25.7</v>
      </c>
      <c r="E303" s="67">
        <v>0.05</v>
      </c>
      <c r="F303" s="67">
        <v>0.19</v>
      </c>
      <c r="G303" s="33">
        <v>3.8</v>
      </c>
      <c r="H303" s="66">
        <v>0.7</v>
      </c>
      <c r="J303" s="33"/>
    </row>
    <row r="304" spans="1:10" x14ac:dyDescent="0.2">
      <c r="A304" s="35" t="s">
        <v>416</v>
      </c>
      <c r="B304" s="32">
        <v>47.64</v>
      </c>
      <c r="C304" s="32">
        <v>76.340985711583031</v>
      </c>
      <c r="D304" s="33">
        <v>-25.7</v>
      </c>
      <c r="E304" s="67">
        <v>0.05</v>
      </c>
      <c r="F304" s="67">
        <v>0.23</v>
      </c>
      <c r="G304" s="33">
        <v>4.5999999999999996</v>
      </c>
      <c r="H304" s="66">
        <v>1.2</v>
      </c>
      <c r="J304" s="33"/>
    </row>
    <row r="305" spans="10:10" x14ac:dyDescent="0.2">
      <c r="J305" s="33"/>
    </row>
    <row r="306" spans="10:10" x14ac:dyDescent="0.2">
      <c r="J306" s="3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D682-EFD4-42C6-90A9-4C5A506C8673}">
  <dimension ref="A1:L77"/>
  <sheetViews>
    <sheetView workbookViewId="0"/>
  </sheetViews>
  <sheetFormatPr baseColWidth="10" defaultColWidth="12.5" defaultRowHeight="16" x14ac:dyDescent="0.2"/>
  <cols>
    <col min="1" max="1" width="14.33203125" style="7" bestFit="1" customWidth="1"/>
    <col min="2" max="2" width="8.5" style="4" bestFit="1" customWidth="1"/>
    <col min="3" max="3" width="12.5" style="4"/>
    <col min="4" max="4" width="4.83203125" style="4" bestFit="1" customWidth="1"/>
    <col min="5" max="5" width="12.5" style="4"/>
    <col min="6" max="6" width="4.83203125" style="4" bestFit="1" customWidth="1"/>
    <col min="7" max="7" width="12.5" style="4"/>
    <col min="8" max="8" width="4.83203125" style="4" bestFit="1" customWidth="1"/>
    <col min="9" max="9" width="12.5" style="4"/>
    <col min="10" max="10" width="4.83203125" style="4" bestFit="1" customWidth="1"/>
    <col min="11" max="11" width="12.5" style="4"/>
    <col min="12" max="12" width="4.83203125" style="4" bestFit="1" customWidth="1"/>
    <col min="13" max="16384" width="12.5" style="4"/>
  </cols>
  <sheetData>
    <row r="1" spans="1:12" x14ac:dyDescent="0.2">
      <c r="A1" s="1" t="s">
        <v>454</v>
      </c>
      <c r="B1" s="2" t="s">
        <v>500</v>
      </c>
      <c r="C1" s="3" t="s">
        <v>494</v>
      </c>
      <c r="D1" s="2" t="s">
        <v>489</v>
      </c>
      <c r="E1" s="3" t="s">
        <v>493</v>
      </c>
      <c r="F1" s="2" t="s">
        <v>489</v>
      </c>
      <c r="G1" s="3" t="s">
        <v>492</v>
      </c>
      <c r="H1" s="2" t="s">
        <v>489</v>
      </c>
      <c r="I1" s="3" t="s">
        <v>491</v>
      </c>
      <c r="J1" s="2" t="s">
        <v>489</v>
      </c>
      <c r="K1" s="3" t="s">
        <v>490</v>
      </c>
      <c r="L1" s="2" t="s">
        <v>489</v>
      </c>
    </row>
    <row r="2" spans="1:12" ht="15.75" customHeight="1" x14ac:dyDescent="0.2">
      <c r="A2" s="1" t="s">
        <v>434</v>
      </c>
      <c r="B2" s="2">
        <v>5.35</v>
      </c>
      <c r="C2" s="5">
        <v>-27.34</v>
      </c>
      <c r="D2" s="5">
        <v>0.24</v>
      </c>
      <c r="E2" s="5">
        <v>-29.37</v>
      </c>
      <c r="F2" s="5">
        <v>0.13</v>
      </c>
      <c r="G2" s="5">
        <v>-27.94</v>
      </c>
      <c r="H2" s="5">
        <v>0.35</v>
      </c>
      <c r="I2" s="5">
        <v>-28.09</v>
      </c>
      <c r="J2" s="5">
        <v>0.11</v>
      </c>
      <c r="K2" s="5">
        <v>-27.48</v>
      </c>
      <c r="L2" s="5">
        <v>0.46</v>
      </c>
    </row>
    <row r="3" spans="1:12" ht="15.75" customHeight="1" x14ac:dyDescent="0.2">
      <c r="A3" s="1" t="s">
        <v>436</v>
      </c>
      <c r="B3" s="2">
        <v>5.52</v>
      </c>
      <c r="C3" s="5">
        <v>-26.19</v>
      </c>
      <c r="D3" s="5">
        <v>0.16</v>
      </c>
      <c r="E3" s="5"/>
      <c r="F3" s="5"/>
      <c r="G3" s="5"/>
      <c r="H3" s="5"/>
      <c r="I3" s="5">
        <v>-28.41</v>
      </c>
      <c r="J3" s="5">
        <v>0.28000000000000003</v>
      </c>
      <c r="K3" s="5"/>
      <c r="L3" s="5"/>
    </row>
    <row r="4" spans="1:12" ht="15.75" customHeight="1" x14ac:dyDescent="0.2">
      <c r="A4" s="1" t="s">
        <v>446</v>
      </c>
      <c r="B4" s="2">
        <v>7.48</v>
      </c>
      <c r="C4" s="5"/>
      <c r="D4" s="5"/>
      <c r="E4" s="5">
        <v>-28.79</v>
      </c>
      <c r="F4" s="5">
        <v>0.62729567500000005</v>
      </c>
      <c r="G4" s="5">
        <v>-30.76</v>
      </c>
      <c r="H4" s="5">
        <v>0.38180702399999999</v>
      </c>
      <c r="I4" s="5">
        <v>-28</v>
      </c>
      <c r="J4" s="5">
        <v>0.19061041500000001</v>
      </c>
      <c r="K4" s="5">
        <v>-27.75</v>
      </c>
      <c r="L4" s="5">
        <v>0.214344853</v>
      </c>
    </row>
    <row r="5" spans="1:12" ht="18.75" customHeight="1" x14ac:dyDescent="0.2">
      <c r="A5" s="1" t="s">
        <v>451</v>
      </c>
      <c r="B5" s="2">
        <v>8.7100000000000009</v>
      </c>
      <c r="C5" s="5">
        <v>-27.76</v>
      </c>
      <c r="D5" s="5">
        <v>0.84852813999999999</v>
      </c>
      <c r="E5" s="5">
        <v>-29.405000000000001</v>
      </c>
      <c r="F5" s="5">
        <v>0.36062445999999998</v>
      </c>
      <c r="G5" s="5">
        <v>-30.23</v>
      </c>
      <c r="H5" s="5">
        <v>0.73539105000000005</v>
      </c>
      <c r="I5" s="5">
        <v>-28.22</v>
      </c>
      <c r="J5" s="5">
        <v>0.38183766000000002</v>
      </c>
      <c r="K5" s="5">
        <v>-26.4</v>
      </c>
      <c r="L5" s="5">
        <v>1.37178716</v>
      </c>
    </row>
    <row r="6" spans="1:12" x14ac:dyDescent="0.2">
      <c r="A6" s="1" t="s">
        <v>0</v>
      </c>
      <c r="B6" s="2">
        <v>8.99</v>
      </c>
      <c r="C6" s="5">
        <v>-28.870087222142743</v>
      </c>
      <c r="D6" s="5">
        <v>0.14236925795955924</v>
      </c>
      <c r="E6" s="5"/>
      <c r="F6" s="5"/>
      <c r="G6" s="5">
        <v>-31.957013142247991</v>
      </c>
      <c r="H6" s="5">
        <v>0.39943552177370806</v>
      </c>
      <c r="I6" s="5">
        <v>-29.541519630214253</v>
      </c>
      <c r="J6" s="5">
        <v>0.2497526847544205</v>
      </c>
      <c r="K6" s="5">
        <v>-29.185751048176151</v>
      </c>
      <c r="L6" s="5">
        <v>0.49949672860417677</v>
      </c>
    </row>
    <row r="7" spans="1:12" x14ac:dyDescent="0.2">
      <c r="A7" s="1" t="s">
        <v>2</v>
      </c>
      <c r="B7" s="2">
        <v>9.17</v>
      </c>
      <c r="C7" s="5">
        <v>-29.37</v>
      </c>
      <c r="D7" s="5">
        <v>0.42</v>
      </c>
      <c r="E7" s="5">
        <v>-30.02</v>
      </c>
      <c r="F7" s="5">
        <v>0.17</v>
      </c>
      <c r="G7" s="5">
        <v>-30.44</v>
      </c>
      <c r="H7" s="5">
        <v>1.48</v>
      </c>
      <c r="I7" s="5">
        <v>-29.01</v>
      </c>
      <c r="J7" s="5">
        <v>0.28000000000000003</v>
      </c>
      <c r="K7" s="5">
        <v>-27.27</v>
      </c>
      <c r="L7" s="5">
        <v>1.1499999999999999</v>
      </c>
    </row>
    <row r="8" spans="1:12" x14ac:dyDescent="0.2">
      <c r="A8" s="1" t="s">
        <v>9</v>
      </c>
      <c r="B8" s="2">
        <v>9.82</v>
      </c>
      <c r="C8" s="5">
        <v>-28.33</v>
      </c>
      <c r="D8" s="5">
        <v>0.05</v>
      </c>
      <c r="E8" s="5">
        <v>-28.4</v>
      </c>
      <c r="F8" s="5">
        <v>0.64</v>
      </c>
      <c r="G8" s="5">
        <v>-29.75</v>
      </c>
      <c r="H8" s="5">
        <v>0.16</v>
      </c>
      <c r="I8" s="5">
        <v>-28.37</v>
      </c>
      <c r="J8" s="5">
        <v>0.09</v>
      </c>
      <c r="K8" s="5">
        <v>-28.11</v>
      </c>
      <c r="L8" s="5">
        <v>0.34</v>
      </c>
    </row>
    <row r="9" spans="1:12" x14ac:dyDescent="0.2">
      <c r="A9" s="1" t="s">
        <v>14</v>
      </c>
      <c r="B9" s="2">
        <v>10.28</v>
      </c>
      <c r="C9" s="5">
        <v>-28.56</v>
      </c>
      <c r="D9" s="5">
        <v>0.76754710699999995</v>
      </c>
      <c r="E9" s="5">
        <v>-29.01</v>
      </c>
      <c r="F9" s="5">
        <v>0.65336042800000005</v>
      </c>
      <c r="G9" s="5">
        <v>-30.69</v>
      </c>
      <c r="H9" s="5">
        <v>8.9533375999999998E-2</v>
      </c>
      <c r="I9" s="5">
        <v>-28.57</v>
      </c>
      <c r="J9" s="5">
        <v>0.12750882799999999</v>
      </c>
      <c r="K9" s="5">
        <v>-27.95</v>
      </c>
      <c r="L9" s="5">
        <v>0.81518282200000003</v>
      </c>
    </row>
    <row r="10" spans="1:12" x14ac:dyDescent="0.2">
      <c r="A10" s="1" t="s">
        <v>17</v>
      </c>
      <c r="B10" s="2">
        <v>10.55</v>
      </c>
      <c r="C10" s="5">
        <v>-27.76</v>
      </c>
      <c r="D10" s="5">
        <v>0.84852813999999999</v>
      </c>
      <c r="E10" s="5">
        <v>-29.405000000000001</v>
      </c>
      <c r="F10" s="5">
        <v>0.36062445999999998</v>
      </c>
      <c r="G10" s="5">
        <v>-30.23</v>
      </c>
      <c r="H10" s="5">
        <v>0.73539105000000005</v>
      </c>
      <c r="I10" s="5">
        <v>-28.22</v>
      </c>
      <c r="J10" s="5">
        <v>0.38183766000000002</v>
      </c>
      <c r="K10" s="5">
        <v>-26.4</v>
      </c>
      <c r="L10" s="5">
        <v>1.37178716</v>
      </c>
    </row>
    <row r="11" spans="1:12" x14ac:dyDescent="0.2">
      <c r="A11" s="1" t="s">
        <v>18</v>
      </c>
      <c r="B11" s="2">
        <v>10.65</v>
      </c>
      <c r="C11" s="5">
        <v>-28.829271201908902</v>
      </c>
      <c r="D11" s="5">
        <v>0.18281708696383894</v>
      </c>
      <c r="E11" s="5">
        <v>-29.316757285294571</v>
      </c>
      <c r="F11" s="5">
        <v>1.7800203297375092</v>
      </c>
      <c r="G11" s="5">
        <v>-30.37808759961128</v>
      </c>
      <c r="H11" s="5">
        <v>0.35722624617481236</v>
      </c>
      <c r="I11" s="5">
        <v>-28.446852092958167</v>
      </c>
      <c r="J11" s="5">
        <v>1.0219659350714778</v>
      </c>
      <c r="K11" s="5">
        <v>-29.446183512018127</v>
      </c>
      <c r="L11" s="5">
        <v>0.64326399416223001</v>
      </c>
    </row>
    <row r="12" spans="1:12" x14ac:dyDescent="0.2">
      <c r="A12" s="1" t="s">
        <v>21</v>
      </c>
      <c r="B12" s="2">
        <v>10.92</v>
      </c>
      <c r="C12" s="5">
        <v>-29.09</v>
      </c>
      <c r="D12" s="5">
        <v>0.24</v>
      </c>
      <c r="E12" s="5">
        <v>-29.28</v>
      </c>
      <c r="F12" s="5">
        <v>0.54</v>
      </c>
      <c r="G12" s="5">
        <v>-29.63</v>
      </c>
      <c r="H12" s="5">
        <v>0.03</v>
      </c>
      <c r="I12" s="5">
        <v>-28.22</v>
      </c>
      <c r="J12" s="5">
        <v>0.1</v>
      </c>
      <c r="K12" s="5">
        <v>-27.36</v>
      </c>
      <c r="L12" s="5">
        <v>0.43</v>
      </c>
    </row>
    <row r="13" spans="1:12" x14ac:dyDescent="0.2">
      <c r="A13" s="1" t="s">
        <v>24</v>
      </c>
      <c r="B13" s="2">
        <v>11.2</v>
      </c>
      <c r="C13" s="5">
        <v>-28.01</v>
      </c>
      <c r="D13" s="5">
        <v>0.28000000000000003</v>
      </c>
      <c r="E13" s="5">
        <v>-30.41</v>
      </c>
      <c r="F13" s="5">
        <v>0.16</v>
      </c>
      <c r="G13" s="5">
        <v>-30.9</v>
      </c>
      <c r="H13" s="5">
        <v>0.23</v>
      </c>
      <c r="I13" s="5">
        <v>-28.54</v>
      </c>
      <c r="J13" s="5">
        <v>0.14000000000000001</v>
      </c>
      <c r="K13" s="5">
        <v>-28.55</v>
      </c>
      <c r="L13" s="5">
        <v>0.62</v>
      </c>
    </row>
    <row r="14" spans="1:12" x14ac:dyDescent="0.2">
      <c r="A14" s="1" t="s">
        <v>25</v>
      </c>
      <c r="B14" s="2">
        <v>11.29</v>
      </c>
      <c r="C14" s="5"/>
      <c r="D14" s="5"/>
      <c r="E14" s="5"/>
      <c r="F14" s="5"/>
      <c r="G14" s="5"/>
      <c r="H14" s="5"/>
      <c r="I14" s="5">
        <v>-29.3</v>
      </c>
      <c r="J14" s="5">
        <v>0.41284251900000002</v>
      </c>
      <c r="K14" s="5"/>
      <c r="L14" s="5"/>
    </row>
    <row r="15" spans="1:12" x14ac:dyDescent="0.2">
      <c r="A15" s="1" t="s">
        <v>26</v>
      </c>
      <c r="B15" s="2">
        <v>11.38</v>
      </c>
      <c r="C15" s="5">
        <v>-29.004999999999999</v>
      </c>
      <c r="D15" s="5">
        <v>0.70003570999999998</v>
      </c>
      <c r="E15" s="5">
        <v>-29.33</v>
      </c>
      <c r="F15" s="5">
        <v>0.12727922</v>
      </c>
      <c r="G15" s="5">
        <v>-28.225000000000001</v>
      </c>
      <c r="H15" s="5">
        <v>0.28991378000000001</v>
      </c>
      <c r="I15" s="5">
        <v>-27.51</v>
      </c>
      <c r="J15" s="5">
        <v>0.49497475000000002</v>
      </c>
      <c r="K15" s="5">
        <v>-26.925000000000001</v>
      </c>
      <c r="L15" s="5">
        <v>0.55861435999999998</v>
      </c>
    </row>
    <row r="16" spans="1:12" x14ac:dyDescent="0.2">
      <c r="A16" s="1" t="s">
        <v>27</v>
      </c>
      <c r="B16" s="2">
        <v>11.48</v>
      </c>
      <c r="C16" s="5">
        <v>-26.479470470120312</v>
      </c>
      <c r="D16" s="5">
        <v>0.13176366450871563</v>
      </c>
      <c r="E16" s="5">
        <v>-26.541187726714686</v>
      </c>
      <c r="F16" s="5">
        <v>7.1007815959295298E-2</v>
      </c>
      <c r="G16" s="5">
        <v>-28.394411686291654</v>
      </c>
      <c r="H16" s="5">
        <v>5.6452067194538387E-2</v>
      </c>
      <c r="I16" s="5">
        <v>-27.977568013322227</v>
      </c>
      <c r="J16" s="5">
        <v>3.6219672052215171E-2</v>
      </c>
      <c r="K16" s="5">
        <v>-27.691806494048578</v>
      </c>
      <c r="L16" s="5">
        <v>3.9761477461594461E-2</v>
      </c>
    </row>
    <row r="17" spans="1:12" x14ac:dyDescent="0.2">
      <c r="A17" s="1" t="s">
        <v>33</v>
      </c>
      <c r="B17" s="2">
        <v>12.03</v>
      </c>
      <c r="C17" s="5">
        <v>-27.34</v>
      </c>
      <c r="D17" s="5">
        <v>0.91</v>
      </c>
      <c r="E17" s="5">
        <v>-27.47</v>
      </c>
      <c r="F17" s="5">
        <v>0.11</v>
      </c>
      <c r="G17" s="5">
        <v>-28.89</v>
      </c>
      <c r="H17" s="5">
        <v>0.16</v>
      </c>
      <c r="I17" s="5">
        <v>-28.07</v>
      </c>
      <c r="J17" s="5">
        <v>0</v>
      </c>
      <c r="K17" s="5">
        <v>-27.95</v>
      </c>
      <c r="L17" s="5">
        <v>0.25</v>
      </c>
    </row>
    <row r="18" spans="1:12" x14ac:dyDescent="0.2">
      <c r="A18" s="1" t="s">
        <v>41</v>
      </c>
      <c r="B18" s="2">
        <v>12.72</v>
      </c>
      <c r="C18" s="5">
        <v>-27.91</v>
      </c>
      <c r="D18" s="5">
        <v>1.1599999999999999</v>
      </c>
      <c r="E18" s="5">
        <v>-27.3</v>
      </c>
      <c r="F18" s="5">
        <v>1.1200000000000001</v>
      </c>
      <c r="G18" s="5">
        <v>-28.44</v>
      </c>
      <c r="H18" s="5">
        <v>0.08</v>
      </c>
      <c r="I18" s="5">
        <v>-27.78</v>
      </c>
      <c r="J18" s="5">
        <v>0.36</v>
      </c>
      <c r="K18" s="5">
        <v>-27.62</v>
      </c>
      <c r="L18" s="5">
        <v>0.5</v>
      </c>
    </row>
    <row r="19" spans="1:12" x14ac:dyDescent="0.2">
      <c r="A19" s="1" t="s">
        <v>49</v>
      </c>
      <c r="B19" s="2">
        <v>13.66</v>
      </c>
      <c r="C19" s="5">
        <v>-28.31</v>
      </c>
      <c r="D19" s="5">
        <v>0.79703633100000004</v>
      </c>
      <c r="E19" s="5">
        <v>-27.8</v>
      </c>
      <c r="F19" s="5">
        <v>3.2667728E-2</v>
      </c>
      <c r="G19" s="5">
        <v>-28.23</v>
      </c>
      <c r="H19" s="5">
        <v>0.30783294300000003</v>
      </c>
      <c r="I19" s="5">
        <v>-27.69</v>
      </c>
      <c r="J19" s="5">
        <v>4.3291909999999996E-3</v>
      </c>
      <c r="K19" s="5">
        <v>-27.32</v>
      </c>
      <c r="L19" s="5">
        <v>0.43434429200000002</v>
      </c>
    </row>
    <row r="20" spans="1:12" x14ac:dyDescent="0.2">
      <c r="A20" s="1" t="s">
        <v>50</v>
      </c>
      <c r="B20" s="2">
        <v>13.78</v>
      </c>
      <c r="C20" s="5">
        <v>-28.15</v>
      </c>
      <c r="D20" s="5">
        <v>7.0710679999999998E-2</v>
      </c>
      <c r="E20" s="5">
        <v>-27.76</v>
      </c>
      <c r="F20" s="5">
        <v>8.4852810000000001E-2</v>
      </c>
      <c r="G20" s="5">
        <v>-28.58</v>
      </c>
      <c r="H20" s="5">
        <v>0.26870058000000002</v>
      </c>
      <c r="I20" s="5">
        <v>-27.98</v>
      </c>
      <c r="J20" s="5">
        <v>0.42426406999999999</v>
      </c>
      <c r="K20" s="5">
        <v>-27.79</v>
      </c>
      <c r="L20" s="5">
        <v>0.53740114999999999</v>
      </c>
    </row>
    <row r="21" spans="1:12" x14ac:dyDescent="0.2">
      <c r="A21" s="1" t="s">
        <v>52</v>
      </c>
      <c r="B21" s="2">
        <v>14.02</v>
      </c>
      <c r="C21" s="5">
        <v>-27.108050419409423</v>
      </c>
      <c r="D21" s="5">
        <v>0.27898988374662176</v>
      </c>
      <c r="E21" s="5">
        <v>-26.743003229612228</v>
      </c>
      <c r="F21" s="5">
        <v>5.6905602538515031E-2</v>
      </c>
      <c r="G21" s="5">
        <v>-28.148183730016637</v>
      </c>
      <c r="H21" s="5">
        <v>0.20575133144505686</v>
      </c>
      <c r="I21" s="5">
        <v>-27.617691999428342</v>
      </c>
      <c r="J21" s="5">
        <v>0.18772339783561112</v>
      </c>
      <c r="K21" s="5">
        <v>-27.880056980686206</v>
      </c>
      <c r="L21" s="5">
        <v>8.4157420223715904E-2</v>
      </c>
    </row>
    <row r="22" spans="1:12" x14ac:dyDescent="0.2">
      <c r="A22" s="1" t="s">
        <v>55</v>
      </c>
      <c r="B22" s="2">
        <v>14.37</v>
      </c>
      <c r="C22" s="5">
        <v>-26.7</v>
      </c>
      <c r="D22" s="5">
        <v>0.23</v>
      </c>
      <c r="E22" s="5">
        <v>-27.51</v>
      </c>
      <c r="F22" s="5">
        <v>0.76</v>
      </c>
      <c r="G22" s="5">
        <v>-27.6</v>
      </c>
      <c r="H22" s="5">
        <v>0.26</v>
      </c>
      <c r="I22" s="5">
        <v>-27.12</v>
      </c>
      <c r="J22" s="5">
        <v>0.45</v>
      </c>
      <c r="K22" s="5">
        <v>-27.67</v>
      </c>
      <c r="L22" s="5">
        <v>0.91</v>
      </c>
    </row>
    <row r="23" spans="1:12" x14ac:dyDescent="0.2">
      <c r="A23" s="1" t="s">
        <v>57</v>
      </c>
      <c r="B23" s="2">
        <v>14.61</v>
      </c>
      <c r="C23" s="5">
        <v>-27.77</v>
      </c>
      <c r="D23" s="5">
        <v>0.25</v>
      </c>
      <c r="E23" s="5">
        <v>-26.85</v>
      </c>
      <c r="F23" s="5">
        <v>7.0000000000000007E-2</v>
      </c>
      <c r="G23" s="5">
        <v>-28.36</v>
      </c>
      <c r="H23" s="5">
        <v>0.14000000000000001</v>
      </c>
      <c r="I23" s="5">
        <v>-27.89</v>
      </c>
      <c r="J23" s="5">
        <v>0.24</v>
      </c>
      <c r="K23" s="5">
        <v>-27.71</v>
      </c>
      <c r="L23" s="5">
        <v>0.01</v>
      </c>
    </row>
    <row r="24" spans="1:12" x14ac:dyDescent="0.2">
      <c r="A24" s="1" t="s">
        <v>58</v>
      </c>
      <c r="B24" s="2">
        <v>14.73</v>
      </c>
      <c r="C24" s="5">
        <v>-26.16</v>
      </c>
      <c r="D24" s="5">
        <v>0.34</v>
      </c>
      <c r="E24" s="5">
        <v>-25.73</v>
      </c>
      <c r="F24" s="5">
        <v>0.05</v>
      </c>
      <c r="G24" s="5">
        <v>-26.62</v>
      </c>
      <c r="H24" s="5">
        <v>0.16</v>
      </c>
      <c r="I24" s="5">
        <v>-26.27</v>
      </c>
      <c r="J24" s="5">
        <v>0.28999999999999998</v>
      </c>
      <c r="K24" s="5">
        <v>-25.92</v>
      </c>
      <c r="L24" s="5">
        <v>0.47</v>
      </c>
    </row>
    <row r="25" spans="1:12" x14ac:dyDescent="0.2">
      <c r="A25" s="1" t="s">
        <v>59</v>
      </c>
      <c r="B25" s="2">
        <v>14.85</v>
      </c>
      <c r="C25" s="5">
        <v>-27.15</v>
      </c>
      <c r="D25" s="5">
        <v>1.4283557</v>
      </c>
      <c r="E25" s="5">
        <v>-26.24</v>
      </c>
      <c r="F25" s="5">
        <v>5.656854E-2</v>
      </c>
      <c r="G25" s="5">
        <v>-27.72</v>
      </c>
      <c r="H25" s="5">
        <v>0.28284271</v>
      </c>
      <c r="I25" s="5">
        <v>-27.08</v>
      </c>
      <c r="J25" s="5">
        <v>0.26870058000000002</v>
      </c>
      <c r="K25" s="5">
        <v>-26.925000000000001</v>
      </c>
      <c r="L25" s="5">
        <v>0.31819805000000001</v>
      </c>
    </row>
    <row r="26" spans="1:12" x14ac:dyDescent="0.2">
      <c r="A26" s="1" t="s">
        <v>67</v>
      </c>
      <c r="B26" s="2">
        <v>15.79</v>
      </c>
      <c r="C26" s="5">
        <v>-27.6</v>
      </c>
      <c r="D26" s="5">
        <v>0.4</v>
      </c>
      <c r="E26" s="5">
        <v>-27.09</v>
      </c>
      <c r="F26" s="5">
        <v>0.59</v>
      </c>
      <c r="G26" s="5">
        <v>-28.64</v>
      </c>
      <c r="H26" s="5">
        <v>0.08</v>
      </c>
      <c r="I26" s="5">
        <v>-27.55</v>
      </c>
      <c r="J26" s="5">
        <v>0.08</v>
      </c>
      <c r="K26" s="5">
        <v>-27.38</v>
      </c>
      <c r="L26" s="5">
        <v>0.47</v>
      </c>
    </row>
    <row r="27" spans="1:12" x14ac:dyDescent="0.2">
      <c r="A27" s="1" t="s">
        <v>72</v>
      </c>
      <c r="B27" s="2">
        <v>16.38</v>
      </c>
      <c r="C27" s="5">
        <v>-26.31</v>
      </c>
      <c r="D27" s="5">
        <v>0.47147415100000001</v>
      </c>
      <c r="E27" s="5">
        <v>-26.26</v>
      </c>
      <c r="F27" s="5">
        <v>0.35275652600000001</v>
      </c>
      <c r="G27" s="5">
        <v>-27.24</v>
      </c>
      <c r="H27" s="5">
        <v>7.2449293999999997E-2</v>
      </c>
      <c r="I27" s="5">
        <v>-27.06</v>
      </c>
      <c r="J27" s="5">
        <v>0.124707678</v>
      </c>
      <c r="K27" s="5">
        <v>-26.91</v>
      </c>
      <c r="L27" s="5">
        <v>0.432965186</v>
      </c>
    </row>
    <row r="28" spans="1:12" x14ac:dyDescent="0.2">
      <c r="A28" s="1" t="s">
        <v>77</v>
      </c>
      <c r="B28" s="2">
        <v>16.98</v>
      </c>
      <c r="C28" s="5">
        <v>-26.82</v>
      </c>
      <c r="D28" s="5">
        <v>0.28284271</v>
      </c>
      <c r="E28" s="5">
        <v>-25.96</v>
      </c>
      <c r="F28" s="5">
        <v>0.11313708</v>
      </c>
      <c r="G28" s="5">
        <v>-27.785</v>
      </c>
      <c r="H28" s="5">
        <v>0.43133514000000001</v>
      </c>
      <c r="I28" s="5">
        <v>-27.41</v>
      </c>
      <c r="J28" s="5">
        <v>0.49497475000000002</v>
      </c>
      <c r="K28" s="5">
        <v>-27.13</v>
      </c>
      <c r="L28" s="5">
        <v>0.59396970000000004</v>
      </c>
    </row>
    <row r="29" spans="1:12" x14ac:dyDescent="0.2">
      <c r="A29" s="1" t="s">
        <v>79</v>
      </c>
      <c r="B29" s="2">
        <v>17.21</v>
      </c>
      <c r="C29" s="5">
        <v>-27.461281418945916</v>
      </c>
      <c r="D29" s="5">
        <v>0.36082603350022868</v>
      </c>
      <c r="E29" s="5">
        <v>-27.106265966242418</v>
      </c>
      <c r="F29" s="5">
        <v>0.45912538183050944</v>
      </c>
      <c r="G29" s="5">
        <v>-28.060653233926843</v>
      </c>
      <c r="H29" s="5">
        <v>1.2317728803989467E-2</v>
      </c>
      <c r="I29" s="5">
        <v>-27.631541169605935</v>
      </c>
      <c r="J29" s="5">
        <v>0.52779641807503097</v>
      </c>
      <c r="K29" s="5">
        <v>-27.921637600963102</v>
      </c>
      <c r="L29" s="5">
        <v>0.18641117742712232</v>
      </c>
    </row>
    <row r="30" spans="1:12" x14ac:dyDescent="0.2">
      <c r="A30" s="1" t="s">
        <v>83</v>
      </c>
      <c r="B30" s="2">
        <v>17.690000000000001</v>
      </c>
      <c r="C30" s="5">
        <v>-26.53</v>
      </c>
      <c r="D30" s="5">
        <v>0.26</v>
      </c>
      <c r="E30" s="5">
        <v>-26.37</v>
      </c>
      <c r="F30" s="5">
        <v>0.25</v>
      </c>
      <c r="G30" s="5">
        <v>-27.7</v>
      </c>
      <c r="H30" s="5">
        <v>0.3</v>
      </c>
      <c r="I30" s="5">
        <v>-27.11</v>
      </c>
      <c r="J30" s="5">
        <v>0.06</v>
      </c>
      <c r="K30" s="5">
        <v>-27.54</v>
      </c>
      <c r="L30" s="5">
        <v>0.59</v>
      </c>
    </row>
    <row r="31" spans="1:12" x14ac:dyDescent="0.2">
      <c r="A31" s="1" t="s">
        <v>85</v>
      </c>
      <c r="B31" s="2">
        <v>17.920000000000002</v>
      </c>
      <c r="C31" s="5">
        <v>-28.09</v>
      </c>
      <c r="D31" s="5">
        <v>0.16</v>
      </c>
      <c r="E31" s="5">
        <v>-26.59</v>
      </c>
      <c r="F31" s="5">
        <v>0.1</v>
      </c>
      <c r="G31" s="5">
        <v>-28.53</v>
      </c>
      <c r="H31" s="5">
        <v>0.21</v>
      </c>
      <c r="I31" s="5">
        <v>-27.59</v>
      </c>
      <c r="J31" s="5">
        <v>0.2</v>
      </c>
      <c r="K31" s="5">
        <v>-27.74</v>
      </c>
      <c r="L31" s="5">
        <v>0.41</v>
      </c>
    </row>
    <row r="32" spans="1:12" x14ac:dyDescent="0.2">
      <c r="A32" s="1" t="s">
        <v>90</v>
      </c>
      <c r="B32" s="2">
        <v>18.510000000000002</v>
      </c>
      <c r="C32" s="5">
        <v>-28.76</v>
      </c>
      <c r="D32" s="5">
        <v>0.78861599299999996</v>
      </c>
      <c r="E32" s="5">
        <v>-27.85</v>
      </c>
      <c r="F32" s="5">
        <v>0.81089627099999995</v>
      </c>
      <c r="G32" s="5">
        <v>-29.34</v>
      </c>
      <c r="H32" s="5">
        <v>0.10990960700000001</v>
      </c>
      <c r="I32" s="5">
        <v>-28.39</v>
      </c>
      <c r="J32" s="5">
        <v>0.23240318600000001</v>
      </c>
      <c r="K32" s="5">
        <v>-28.55</v>
      </c>
      <c r="L32" s="5">
        <v>0.41939118600000003</v>
      </c>
    </row>
    <row r="33" spans="1:12" x14ac:dyDescent="0.2">
      <c r="A33" s="1" t="s">
        <v>93</v>
      </c>
      <c r="B33" s="2">
        <v>18.87</v>
      </c>
      <c r="C33" s="5">
        <v>-31.51</v>
      </c>
      <c r="D33" s="5">
        <v>0.45254833999999999</v>
      </c>
      <c r="E33" s="5">
        <v>-28.85</v>
      </c>
      <c r="F33" s="5">
        <v>0.74953318999999996</v>
      </c>
      <c r="G33" s="5">
        <v>-31.05</v>
      </c>
      <c r="H33" s="5">
        <v>4.2426409999999998E-2</v>
      </c>
      <c r="I33" s="5">
        <v>-29.414999999999999</v>
      </c>
      <c r="J33" s="5">
        <v>0.78488853000000003</v>
      </c>
      <c r="K33" s="5">
        <v>-28.175000000000001</v>
      </c>
      <c r="L33" s="5">
        <v>0.79903066</v>
      </c>
    </row>
    <row r="34" spans="1:12" x14ac:dyDescent="0.2">
      <c r="A34" s="1" t="s">
        <v>96</v>
      </c>
      <c r="B34" s="2">
        <v>19.190000000000001</v>
      </c>
      <c r="C34" s="5">
        <v>-28.682476674079883</v>
      </c>
      <c r="D34" s="5">
        <v>2.527253233682234E-4</v>
      </c>
      <c r="E34" s="5">
        <v>-29.23051118875237</v>
      </c>
      <c r="F34" s="5">
        <v>0.2678126680214642</v>
      </c>
      <c r="G34" s="5">
        <v>-29.363970909206181</v>
      </c>
      <c r="H34" s="5">
        <v>0.11267856451763274</v>
      </c>
      <c r="I34" s="5">
        <v>-28.758194112556467</v>
      </c>
      <c r="J34" s="5">
        <v>0.55974314190716434</v>
      </c>
      <c r="K34" s="5">
        <v>-27.871931061625606</v>
      </c>
      <c r="L34" s="5">
        <v>0.55154043821982912</v>
      </c>
    </row>
    <row r="35" spans="1:12" x14ac:dyDescent="0.2">
      <c r="A35" s="1" t="s">
        <v>103</v>
      </c>
      <c r="B35" s="2">
        <v>20.18</v>
      </c>
      <c r="C35" s="5">
        <v>-32.590000000000003</v>
      </c>
      <c r="D35" s="5">
        <v>0.62</v>
      </c>
      <c r="E35" s="5">
        <v>-32.33</v>
      </c>
      <c r="F35" s="5">
        <v>1.29</v>
      </c>
      <c r="G35" s="5">
        <v>-32.340000000000003</v>
      </c>
      <c r="H35" s="5">
        <v>0.67</v>
      </c>
      <c r="I35" s="5">
        <v>-32.75</v>
      </c>
      <c r="J35" s="5">
        <v>1.49</v>
      </c>
      <c r="K35" s="5">
        <v>-31.54</v>
      </c>
      <c r="L35" s="5">
        <v>0.54</v>
      </c>
    </row>
    <row r="36" spans="1:12" x14ac:dyDescent="0.2">
      <c r="A36" s="1" t="s">
        <v>108</v>
      </c>
      <c r="B36" s="2">
        <v>20.89</v>
      </c>
      <c r="C36" s="5">
        <v>-34.64</v>
      </c>
      <c r="D36" s="5">
        <v>7.0000000000000007E-2</v>
      </c>
      <c r="E36" s="5">
        <v>-34.159999999999997</v>
      </c>
      <c r="F36" s="5">
        <v>0.34</v>
      </c>
      <c r="G36" s="5">
        <v>-32.29</v>
      </c>
      <c r="H36" s="5">
        <v>0.03</v>
      </c>
      <c r="I36" s="5">
        <v>-33.19</v>
      </c>
      <c r="J36" s="5">
        <v>0.28000000000000003</v>
      </c>
      <c r="K36" s="5">
        <v>-35.94</v>
      </c>
      <c r="L36" s="5">
        <v>0.03</v>
      </c>
    </row>
    <row r="37" spans="1:12" x14ac:dyDescent="0.2">
      <c r="A37" s="1" t="s">
        <v>111</v>
      </c>
      <c r="B37" s="2">
        <v>21.31</v>
      </c>
      <c r="C37" s="5">
        <v>-33.17</v>
      </c>
      <c r="D37" s="5">
        <v>0.485412599</v>
      </c>
      <c r="E37" s="5">
        <v>-33.39</v>
      </c>
      <c r="F37" s="5">
        <v>0.91086376000000002</v>
      </c>
      <c r="G37" s="5">
        <v>-32.53</v>
      </c>
      <c r="H37" s="5">
        <v>0.20345734300000001</v>
      </c>
      <c r="I37" s="5">
        <v>-33.01</v>
      </c>
      <c r="J37" s="5">
        <v>0.74471127599999998</v>
      </c>
      <c r="K37" s="5">
        <v>-33.69</v>
      </c>
      <c r="L37" s="5">
        <v>0.86159358200000002</v>
      </c>
    </row>
    <row r="38" spans="1:12" x14ac:dyDescent="0.2">
      <c r="A38" s="1" t="s">
        <v>115</v>
      </c>
      <c r="B38" s="2">
        <v>21.79</v>
      </c>
      <c r="C38" s="5">
        <v>-34.401236910380668</v>
      </c>
      <c r="D38" s="5">
        <v>0.1806071320524896</v>
      </c>
      <c r="E38" s="5">
        <v>-33.717145891638168</v>
      </c>
      <c r="F38" s="5">
        <v>0.40997092534599622</v>
      </c>
      <c r="G38" s="5">
        <v>-31.756492707264634</v>
      </c>
      <c r="H38" s="5">
        <v>8.4840004755852988E-3</v>
      </c>
      <c r="I38" s="5">
        <v>-33.401928487813734</v>
      </c>
      <c r="J38" s="5">
        <v>0.1353160653830347</v>
      </c>
      <c r="K38" s="5">
        <v>-35.885809586758953</v>
      </c>
      <c r="L38" s="5">
        <v>0.30304028668245819</v>
      </c>
    </row>
    <row r="39" spans="1:12" x14ac:dyDescent="0.2">
      <c r="A39" s="1" t="s">
        <v>120</v>
      </c>
      <c r="B39" s="2">
        <v>22.48</v>
      </c>
      <c r="C39" s="5">
        <v>-33.380000000000003</v>
      </c>
      <c r="D39" s="5">
        <v>0.11</v>
      </c>
      <c r="E39" s="5">
        <v>-33.630000000000003</v>
      </c>
      <c r="F39" s="5">
        <v>0.28000000000000003</v>
      </c>
      <c r="G39" s="5">
        <v>-31.74</v>
      </c>
      <c r="H39" s="5">
        <v>0.11</v>
      </c>
      <c r="I39" s="5">
        <v>-33.450000000000003</v>
      </c>
      <c r="J39" s="5">
        <v>0.11</v>
      </c>
      <c r="K39" s="5">
        <v>-34.43</v>
      </c>
      <c r="L39" s="5">
        <v>0.16</v>
      </c>
    </row>
    <row r="40" spans="1:12" x14ac:dyDescent="0.2">
      <c r="A40" s="1" t="s">
        <v>125</v>
      </c>
      <c r="B40" s="2">
        <v>23.17</v>
      </c>
      <c r="C40" s="5">
        <v>-31.93</v>
      </c>
      <c r="D40" s="5">
        <v>0.03</v>
      </c>
      <c r="E40" s="5">
        <v>-31.08</v>
      </c>
      <c r="F40" s="5">
        <v>0.51</v>
      </c>
      <c r="G40" s="5">
        <v>-31.78</v>
      </c>
      <c r="H40" s="5">
        <v>0.03</v>
      </c>
      <c r="I40" s="5">
        <v>-31.62</v>
      </c>
      <c r="J40" s="5">
        <v>0.3</v>
      </c>
      <c r="K40" s="5">
        <v>-31.77</v>
      </c>
      <c r="L40" s="5">
        <v>0.19</v>
      </c>
    </row>
    <row r="41" spans="1:12" x14ac:dyDescent="0.2">
      <c r="A41" s="1" t="s">
        <v>127</v>
      </c>
      <c r="B41" s="2">
        <v>23.45</v>
      </c>
      <c r="C41" s="5">
        <v>-33.869999999999997</v>
      </c>
      <c r="D41" s="5">
        <v>0.505000385</v>
      </c>
      <c r="E41" s="5">
        <v>-33.15</v>
      </c>
      <c r="F41" s="5">
        <v>0.209960752</v>
      </c>
      <c r="G41" s="5">
        <v>-33.229999999999997</v>
      </c>
      <c r="H41" s="5">
        <v>0.22984727499999999</v>
      </c>
      <c r="I41" s="5">
        <v>-32.65</v>
      </c>
      <c r="J41" s="5">
        <v>0.24285879599999999</v>
      </c>
      <c r="K41" s="5">
        <v>-33.24</v>
      </c>
      <c r="L41" s="5">
        <v>0.25786128600000002</v>
      </c>
    </row>
    <row r="42" spans="1:12" x14ac:dyDescent="0.2">
      <c r="A42" s="1" t="s">
        <v>134</v>
      </c>
      <c r="B42" s="2">
        <v>24.42</v>
      </c>
      <c r="C42" s="5">
        <v>-34.284999999999997</v>
      </c>
      <c r="D42" s="5">
        <v>6.3639609999999999E-2</v>
      </c>
      <c r="E42" s="5">
        <v>-33.93</v>
      </c>
      <c r="F42" s="5">
        <v>1.21622366</v>
      </c>
      <c r="G42" s="5">
        <v>-32.880000000000003</v>
      </c>
      <c r="H42" s="5">
        <v>0.24041630999999999</v>
      </c>
      <c r="I42" s="5">
        <v>-33.46</v>
      </c>
      <c r="J42" s="5">
        <v>0.16970563</v>
      </c>
      <c r="K42" s="5">
        <v>-34.744999999999997</v>
      </c>
      <c r="L42" s="5">
        <v>7.7781749999999997E-2</v>
      </c>
    </row>
    <row r="43" spans="1:12" x14ac:dyDescent="0.2">
      <c r="A43" s="1" t="s">
        <v>137</v>
      </c>
      <c r="B43" s="2">
        <v>24.84</v>
      </c>
      <c r="C43" s="5">
        <v>-33.513787165472735</v>
      </c>
      <c r="D43" s="5">
        <v>0.77969012257630366</v>
      </c>
      <c r="E43" s="5">
        <v>-33.365831130427345</v>
      </c>
      <c r="F43" s="5">
        <v>0.52589249608283795</v>
      </c>
      <c r="G43" s="5">
        <v>-33.76336153552365</v>
      </c>
      <c r="H43" s="5">
        <v>0.29937645115511574</v>
      </c>
      <c r="I43" s="5">
        <v>-33.332800849145876</v>
      </c>
      <c r="J43" s="5">
        <v>0.26950556048921021</v>
      </c>
      <c r="K43" s="5">
        <v>-34.325332618280839</v>
      </c>
      <c r="L43" s="5">
        <v>0.18216271505917214</v>
      </c>
    </row>
    <row r="44" spans="1:12" x14ac:dyDescent="0.2">
      <c r="A44" s="1" t="s">
        <v>139</v>
      </c>
      <c r="B44" s="2">
        <v>25.11</v>
      </c>
      <c r="C44" s="5">
        <v>-34.68</v>
      </c>
      <c r="D44" s="5">
        <v>0.18</v>
      </c>
      <c r="E44" s="5">
        <v>-33.54</v>
      </c>
      <c r="F44" s="5">
        <v>0.23</v>
      </c>
      <c r="G44" s="5">
        <v>-34.119999999999997</v>
      </c>
      <c r="H44" s="5">
        <v>0.21</v>
      </c>
      <c r="I44" s="5">
        <v>-33.74</v>
      </c>
      <c r="J44" s="5">
        <v>0.16</v>
      </c>
      <c r="K44" s="5">
        <v>-34.64</v>
      </c>
      <c r="L44" s="5">
        <v>0.3</v>
      </c>
    </row>
    <row r="45" spans="1:12" x14ac:dyDescent="0.2">
      <c r="A45" s="1" t="s">
        <v>142</v>
      </c>
      <c r="B45" s="2">
        <v>25.53</v>
      </c>
      <c r="C45" s="5">
        <v>-34.04</v>
      </c>
      <c r="D45" s="5">
        <v>0.1</v>
      </c>
      <c r="E45" s="5">
        <v>-33.26</v>
      </c>
      <c r="F45" s="5">
        <v>0.37</v>
      </c>
      <c r="G45" s="5">
        <v>-33.299999999999997</v>
      </c>
      <c r="H45" s="5">
        <v>0.32</v>
      </c>
      <c r="I45" s="5">
        <v>-33.39</v>
      </c>
      <c r="J45" s="5">
        <v>0.04</v>
      </c>
      <c r="K45" s="5">
        <v>-34.03</v>
      </c>
      <c r="L45" s="5">
        <v>0</v>
      </c>
    </row>
    <row r="46" spans="1:12" x14ac:dyDescent="0.2">
      <c r="A46" s="1" t="s">
        <v>146</v>
      </c>
      <c r="B46" s="2">
        <v>26.08</v>
      </c>
      <c r="C46" s="5">
        <v>-33.130000000000003</v>
      </c>
      <c r="D46" s="5">
        <v>0.39491396099999998</v>
      </c>
      <c r="E46" s="5">
        <v>-33.07</v>
      </c>
      <c r="F46" s="5">
        <v>0.22835809100000001</v>
      </c>
      <c r="G46" s="5">
        <v>-33.229999999999997</v>
      </c>
      <c r="H46" s="5">
        <v>0.18858692399999999</v>
      </c>
      <c r="I46" s="5">
        <v>-33.04</v>
      </c>
      <c r="J46" s="5">
        <v>0.135665639</v>
      </c>
      <c r="K46" s="5">
        <v>-33.33</v>
      </c>
      <c r="L46" s="5">
        <v>0.17371029599999999</v>
      </c>
    </row>
    <row r="47" spans="1:12" x14ac:dyDescent="0.2">
      <c r="A47" s="1" t="s">
        <v>148</v>
      </c>
      <c r="B47" s="2">
        <v>26.26</v>
      </c>
      <c r="C47" s="5">
        <v>-29.445</v>
      </c>
      <c r="D47" s="5">
        <v>0.38890872999999998</v>
      </c>
      <c r="E47" s="5">
        <v>-30.215</v>
      </c>
      <c r="F47" s="5">
        <v>0.91216775000000005</v>
      </c>
      <c r="G47" s="5">
        <v>-30.655000000000001</v>
      </c>
      <c r="H47" s="5">
        <v>0.19091883000000001</v>
      </c>
      <c r="I47" s="5">
        <v>-30.605</v>
      </c>
      <c r="J47" s="5">
        <v>0.16263456000000001</v>
      </c>
      <c r="K47" s="5">
        <v>-30.754999999999999</v>
      </c>
      <c r="L47" s="5">
        <v>2.1213200000000001E-2</v>
      </c>
    </row>
    <row r="48" spans="1:12" x14ac:dyDescent="0.2">
      <c r="A48" s="1" t="s">
        <v>152</v>
      </c>
      <c r="B48" s="2">
        <v>26.57</v>
      </c>
      <c r="C48" s="5">
        <v>-32.021026110808585</v>
      </c>
      <c r="D48" s="5">
        <v>0.61836619741519094</v>
      </c>
      <c r="E48" s="5">
        <v>-31.289668642877032</v>
      </c>
      <c r="F48" s="5">
        <v>3.9836106216076445E-2</v>
      </c>
      <c r="G48" s="5">
        <v>-32.09956793310954</v>
      </c>
      <c r="H48" s="5">
        <v>0.10948147046494329</v>
      </c>
      <c r="I48" s="5">
        <v>-31.637926254778343</v>
      </c>
      <c r="J48" s="5">
        <v>8.4840945360278905E-2</v>
      </c>
      <c r="K48" s="5">
        <v>-30.838603866022737</v>
      </c>
      <c r="L48" s="5">
        <v>0.10219309728533879</v>
      </c>
    </row>
    <row r="49" spans="1:12" x14ac:dyDescent="0.2">
      <c r="A49" s="1" t="s">
        <v>156</v>
      </c>
      <c r="B49" s="2">
        <v>26.88</v>
      </c>
      <c r="C49" s="5">
        <v>-33.729999999999997</v>
      </c>
      <c r="D49" s="5">
        <v>0.12</v>
      </c>
      <c r="E49" s="5">
        <v>-33.04</v>
      </c>
      <c r="F49" s="5">
        <v>0.12</v>
      </c>
      <c r="G49" s="5">
        <v>-31.89</v>
      </c>
      <c r="H49" s="5">
        <v>0.09</v>
      </c>
      <c r="I49" s="5">
        <v>-33.04</v>
      </c>
      <c r="J49" s="5">
        <v>7.0000000000000007E-2</v>
      </c>
      <c r="K49" s="5">
        <v>-34.840000000000003</v>
      </c>
      <c r="L49" s="5">
        <v>0.63</v>
      </c>
    </row>
    <row r="50" spans="1:12" x14ac:dyDescent="0.2">
      <c r="A50" s="1" t="s">
        <v>162</v>
      </c>
      <c r="B50" s="2">
        <v>27.35</v>
      </c>
      <c r="C50" s="5">
        <v>-32.99</v>
      </c>
      <c r="D50" s="5">
        <v>0.46</v>
      </c>
      <c r="E50" s="5">
        <v>-33.64</v>
      </c>
      <c r="F50" s="5">
        <v>0.51</v>
      </c>
      <c r="G50" s="5">
        <v>-33.28</v>
      </c>
      <c r="H50" s="5">
        <v>0.25</v>
      </c>
      <c r="I50" s="5">
        <v>-33.25</v>
      </c>
      <c r="J50" s="5">
        <v>0.46</v>
      </c>
      <c r="K50" s="5">
        <v>-34.090000000000003</v>
      </c>
      <c r="L50" s="5">
        <v>1.61</v>
      </c>
    </row>
    <row r="51" spans="1:12" x14ac:dyDescent="0.2">
      <c r="A51" s="1" t="s">
        <v>166</v>
      </c>
      <c r="B51" s="2">
        <v>27.66</v>
      </c>
      <c r="C51" s="5">
        <v>-33.4</v>
      </c>
      <c r="D51" s="5">
        <v>8.0483426999999996E-2</v>
      </c>
      <c r="E51" s="5">
        <v>-33.200000000000003</v>
      </c>
      <c r="F51" s="5">
        <v>0.19169935299999999</v>
      </c>
      <c r="G51" s="5">
        <v>-33.5</v>
      </c>
      <c r="H51" s="5">
        <v>0.16179058900000001</v>
      </c>
      <c r="I51" s="5">
        <v>-32.799999999999997</v>
      </c>
      <c r="J51" s="5">
        <v>9.5923904000000004E-2</v>
      </c>
      <c r="K51" s="5">
        <v>-33.6</v>
      </c>
      <c r="L51" s="5">
        <v>0.83793607000000003</v>
      </c>
    </row>
    <row r="52" spans="1:12" x14ac:dyDescent="0.2">
      <c r="A52" s="1" t="s">
        <v>168</v>
      </c>
      <c r="B52" s="2">
        <v>27.81</v>
      </c>
      <c r="C52" s="5">
        <v>-34.56</v>
      </c>
      <c r="D52" s="5">
        <v>0.21</v>
      </c>
      <c r="E52" s="5">
        <v>-33.92</v>
      </c>
      <c r="F52" s="5">
        <v>0.19</v>
      </c>
      <c r="G52" s="5">
        <v>-33.58</v>
      </c>
      <c r="H52" s="5">
        <v>0.15</v>
      </c>
      <c r="I52" s="5">
        <v>-33.380000000000003</v>
      </c>
      <c r="J52" s="5">
        <v>0.17</v>
      </c>
      <c r="K52" s="5">
        <v>-33.51</v>
      </c>
      <c r="L52" s="5">
        <v>0.33</v>
      </c>
    </row>
    <row r="53" spans="1:12" x14ac:dyDescent="0.2">
      <c r="A53" s="1" t="s">
        <v>168</v>
      </c>
      <c r="B53" s="2">
        <v>27.81</v>
      </c>
      <c r="C53" s="5">
        <v>-34.555</v>
      </c>
      <c r="D53" s="5">
        <v>0.20506097000000001</v>
      </c>
      <c r="E53" s="5">
        <v>-33.92</v>
      </c>
      <c r="F53" s="5">
        <v>0.18384776</v>
      </c>
      <c r="G53" s="5">
        <v>-33.58</v>
      </c>
      <c r="H53" s="5">
        <v>0.15556349</v>
      </c>
      <c r="I53" s="5">
        <v>-33.380000000000003</v>
      </c>
      <c r="J53" s="5">
        <v>0.16970563</v>
      </c>
      <c r="K53" s="5">
        <v>-33.515000000000001</v>
      </c>
      <c r="L53" s="5">
        <v>0.33234018999999998</v>
      </c>
    </row>
    <row r="54" spans="1:12" x14ac:dyDescent="0.2">
      <c r="A54" s="1" t="s">
        <v>172</v>
      </c>
      <c r="B54" s="2">
        <v>28.12</v>
      </c>
      <c r="C54" s="5">
        <v>-33.692131822747371</v>
      </c>
      <c r="D54" s="5">
        <v>0.46109731967848289</v>
      </c>
      <c r="E54" s="5">
        <v>-33.126267001575712</v>
      </c>
      <c r="F54" s="5">
        <v>0.44632974876434633</v>
      </c>
      <c r="G54" s="5">
        <v>-32.937701872256362</v>
      </c>
      <c r="H54" s="5">
        <v>0.163509054364749</v>
      </c>
      <c r="I54" s="5">
        <v>-33.293312735943587</v>
      </c>
      <c r="J54" s="5">
        <v>4.3524649765992345E-2</v>
      </c>
      <c r="K54" s="5">
        <v>-33.407673807218487</v>
      </c>
      <c r="L54" s="5">
        <v>0.59030135759724633</v>
      </c>
    </row>
    <row r="55" spans="1:12" x14ac:dyDescent="0.2">
      <c r="A55" s="1" t="s">
        <v>177</v>
      </c>
      <c r="B55" s="2">
        <v>28.51</v>
      </c>
      <c r="C55" s="5">
        <v>-33.24</v>
      </c>
      <c r="D55" s="5">
        <v>1.01</v>
      </c>
      <c r="E55" s="5">
        <v>-32.94</v>
      </c>
      <c r="F55" s="5">
        <v>1.24</v>
      </c>
      <c r="G55" s="5">
        <v>-33.020000000000003</v>
      </c>
      <c r="H55" s="5">
        <v>0.14000000000000001</v>
      </c>
      <c r="I55" s="5">
        <v>-33.700000000000003</v>
      </c>
      <c r="J55" s="5">
        <v>0.28000000000000003</v>
      </c>
      <c r="K55" s="5">
        <v>-33.47</v>
      </c>
      <c r="L55" s="5">
        <v>0.33</v>
      </c>
    </row>
    <row r="56" spans="1:12" x14ac:dyDescent="0.2">
      <c r="A56" s="1" t="s">
        <v>181</v>
      </c>
      <c r="B56" s="2">
        <v>28.82</v>
      </c>
      <c r="C56" s="5">
        <v>-33.93</v>
      </c>
      <c r="D56" s="5">
        <v>0.21</v>
      </c>
      <c r="E56" s="5">
        <v>-33.46</v>
      </c>
      <c r="F56" s="5">
        <v>0.47</v>
      </c>
      <c r="G56" s="5">
        <v>-33.29</v>
      </c>
      <c r="H56" s="5">
        <v>0.05</v>
      </c>
      <c r="I56" s="5">
        <v>-33.1</v>
      </c>
      <c r="J56" s="5">
        <v>0.01</v>
      </c>
      <c r="K56" s="5">
        <v>-33.11</v>
      </c>
      <c r="L56" s="5">
        <v>0.23</v>
      </c>
    </row>
    <row r="57" spans="1:12" x14ac:dyDescent="0.2">
      <c r="A57" s="1" t="s">
        <v>182</v>
      </c>
      <c r="B57" s="2">
        <v>28.9</v>
      </c>
      <c r="C57" s="5">
        <v>-34.19</v>
      </c>
      <c r="D57" s="6">
        <v>0.17799540999999999</v>
      </c>
      <c r="E57" s="5">
        <v>-33.11</v>
      </c>
      <c r="F57" s="6">
        <v>0.12245531</v>
      </c>
      <c r="G57" s="5">
        <v>-32.96</v>
      </c>
      <c r="H57" s="6">
        <v>0.36555389999999999</v>
      </c>
      <c r="I57" s="5">
        <v>-33.18</v>
      </c>
      <c r="J57" s="6">
        <v>0.28168128999999997</v>
      </c>
      <c r="K57" s="5">
        <v>-33.26</v>
      </c>
      <c r="L57" s="6">
        <v>0.17093871999999999</v>
      </c>
    </row>
    <row r="58" spans="1:12" x14ac:dyDescent="0.2">
      <c r="A58" s="1" t="s">
        <v>184</v>
      </c>
      <c r="B58" s="2">
        <v>29.06</v>
      </c>
      <c r="C58" s="5">
        <v>-32.869999999999997</v>
      </c>
      <c r="D58" s="5">
        <v>0.46669048000000002</v>
      </c>
      <c r="E58" s="5">
        <v>-33.164999999999999</v>
      </c>
      <c r="F58" s="5">
        <v>1.23743687</v>
      </c>
      <c r="G58" s="5">
        <v>-32.89</v>
      </c>
      <c r="H58" s="5">
        <v>8.4852810000000001E-2</v>
      </c>
      <c r="I58" s="5">
        <v>-32.909999999999997</v>
      </c>
      <c r="J58" s="5">
        <v>0.21213203</v>
      </c>
      <c r="K58" s="5">
        <v>-32.9</v>
      </c>
      <c r="L58" s="5">
        <v>5.656854E-2</v>
      </c>
    </row>
    <row r="59" spans="1:12" x14ac:dyDescent="0.2">
      <c r="A59" s="1" t="s">
        <v>187</v>
      </c>
      <c r="B59" s="2">
        <v>29.29</v>
      </c>
      <c r="C59" s="5">
        <v>-33.626613739260051</v>
      </c>
      <c r="D59" s="5">
        <v>0.30711421961982788</v>
      </c>
      <c r="E59" s="5">
        <v>-32.897680702224839</v>
      </c>
      <c r="F59" s="5">
        <v>9.1176424429483247E-2</v>
      </c>
      <c r="G59" s="5">
        <v>-32.943720419865699</v>
      </c>
      <c r="H59" s="5">
        <v>1.0016491031953682E-2</v>
      </c>
      <c r="I59" s="5">
        <v>-33.167193989363554</v>
      </c>
      <c r="J59" s="5">
        <v>6.7547474699025389E-2</v>
      </c>
      <c r="K59" s="5">
        <v>-33.323028817154253</v>
      </c>
      <c r="L59" s="5">
        <v>5.1869373795288075E-2</v>
      </c>
    </row>
    <row r="60" spans="1:12" x14ac:dyDescent="0.2">
      <c r="A60" s="1" t="s">
        <v>193</v>
      </c>
      <c r="B60" s="2">
        <v>29.76</v>
      </c>
      <c r="C60" s="5">
        <v>-32.6</v>
      </c>
      <c r="D60" s="5">
        <v>0.16</v>
      </c>
      <c r="E60" s="5">
        <v>-32.71</v>
      </c>
      <c r="F60" s="5">
        <v>0.13</v>
      </c>
      <c r="G60" s="5">
        <v>-33.159999999999997</v>
      </c>
      <c r="H60" s="5">
        <v>0.17</v>
      </c>
      <c r="I60" s="5">
        <v>-33</v>
      </c>
      <c r="J60" s="5">
        <v>0.08</v>
      </c>
      <c r="K60" s="5">
        <v>-33.19</v>
      </c>
      <c r="L60" s="5">
        <v>0.02</v>
      </c>
    </row>
    <row r="61" spans="1:12" x14ac:dyDescent="0.2">
      <c r="A61" s="1" t="s">
        <v>194</v>
      </c>
      <c r="B61" s="2">
        <v>29.83</v>
      </c>
      <c r="C61" s="5">
        <v>-31.85</v>
      </c>
      <c r="D61" s="5">
        <v>0.08</v>
      </c>
      <c r="E61" s="5">
        <v>-32.85</v>
      </c>
      <c r="F61" s="5">
        <v>1.71</v>
      </c>
      <c r="G61" s="5">
        <v>-32.43</v>
      </c>
      <c r="H61" s="5">
        <v>0.02</v>
      </c>
      <c r="I61" s="5">
        <v>-33.229999999999997</v>
      </c>
      <c r="J61" s="5">
        <v>0.36</v>
      </c>
      <c r="K61" s="5">
        <v>-31.41</v>
      </c>
      <c r="L61" s="5">
        <v>0.11</v>
      </c>
    </row>
    <row r="62" spans="1:12" x14ac:dyDescent="0.2">
      <c r="A62" s="1" t="s">
        <v>196</v>
      </c>
      <c r="B62" s="2">
        <v>29.98</v>
      </c>
      <c r="C62" s="5">
        <v>-29.285</v>
      </c>
      <c r="D62" s="5">
        <v>0.51618795026617748</v>
      </c>
      <c r="E62" s="5">
        <v>-30.795000000000002</v>
      </c>
      <c r="F62" s="5">
        <v>2.1425335469952396</v>
      </c>
      <c r="G62" s="5">
        <v>-30.605</v>
      </c>
      <c r="H62" s="5">
        <v>7.7781745930519827E-2</v>
      </c>
      <c r="I62" s="5">
        <v>-30.765000000000001</v>
      </c>
      <c r="J62" s="5">
        <v>1.1667261889578024</v>
      </c>
      <c r="K62" s="5">
        <v>-29.689999999999998</v>
      </c>
      <c r="L62" s="5">
        <v>0.36769552621700441</v>
      </c>
    </row>
    <row r="63" spans="1:12" x14ac:dyDescent="0.2">
      <c r="A63" s="1" t="s">
        <v>200</v>
      </c>
      <c r="B63" s="2">
        <v>30.38</v>
      </c>
      <c r="C63" s="5">
        <v>-29.8</v>
      </c>
      <c r="D63" s="5">
        <v>0.63639610306789174</v>
      </c>
      <c r="E63" s="5">
        <v>-31.315000000000001</v>
      </c>
      <c r="F63" s="5">
        <v>1.9162593770155443</v>
      </c>
      <c r="G63" s="5">
        <v>-29.314999999999998</v>
      </c>
      <c r="H63" s="5">
        <v>0.34648232278140717</v>
      </c>
      <c r="I63" s="5">
        <v>-30.380000000000003</v>
      </c>
      <c r="J63" s="5">
        <v>1.4142135623730649E-2</v>
      </c>
      <c r="K63" s="5"/>
      <c r="L63" s="5"/>
    </row>
    <row r="64" spans="1:12" x14ac:dyDescent="0.2">
      <c r="A64" s="1" t="s">
        <v>212</v>
      </c>
      <c r="B64" s="2">
        <v>31.56</v>
      </c>
      <c r="C64" s="5">
        <v>-28.380713725005769</v>
      </c>
      <c r="D64" s="5">
        <v>0.37791798725173681</v>
      </c>
      <c r="E64" s="5">
        <v>-30.224716401054469</v>
      </c>
      <c r="F64" s="5">
        <v>0.16219261371738916</v>
      </c>
      <c r="G64" s="5">
        <v>-31.123726130311276</v>
      </c>
      <c r="H64" s="5">
        <v>0.58239608110307572</v>
      </c>
      <c r="I64" s="5">
        <v>-30.391841618495526</v>
      </c>
      <c r="J64" s="5">
        <v>0.29720775442064656</v>
      </c>
      <c r="K64" s="5">
        <v>-29.6019106857389</v>
      </c>
      <c r="L64" s="5">
        <v>0.56747890027858883</v>
      </c>
    </row>
    <row r="65" spans="1:12" x14ac:dyDescent="0.2">
      <c r="A65" s="1" t="s">
        <v>261</v>
      </c>
      <c r="B65" s="2">
        <v>36.729999999999997</v>
      </c>
      <c r="C65" s="5">
        <v>-28.36</v>
      </c>
      <c r="D65" s="5">
        <v>1.01</v>
      </c>
      <c r="E65" s="5">
        <v>-30.5</v>
      </c>
      <c r="F65" s="5">
        <v>0.44</v>
      </c>
      <c r="G65" s="5">
        <v>-30.13</v>
      </c>
      <c r="H65" s="5">
        <v>0.26</v>
      </c>
      <c r="I65" s="5">
        <v>-30.14</v>
      </c>
      <c r="J65" s="5">
        <v>0.91</v>
      </c>
      <c r="K65" s="5">
        <v>-29.98</v>
      </c>
      <c r="L65" s="5">
        <v>0.16</v>
      </c>
    </row>
    <row r="66" spans="1:12" x14ac:dyDescent="0.2">
      <c r="A66" s="1" t="s">
        <v>262</v>
      </c>
      <c r="B66" s="2">
        <v>36.81</v>
      </c>
      <c r="C66" s="5">
        <v>-28.44</v>
      </c>
      <c r="D66" s="5">
        <v>0.35355339059327379</v>
      </c>
      <c r="E66" s="5">
        <v>-29.75</v>
      </c>
      <c r="F66" s="5">
        <v>1.0748023074035544</v>
      </c>
      <c r="G66" s="5">
        <v>-30.454999999999998</v>
      </c>
      <c r="H66" s="5">
        <v>0.30405591591021774</v>
      </c>
      <c r="I66" s="5">
        <v>-29.395000000000003</v>
      </c>
      <c r="J66" s="5">
        <v>0.16263455967290624</v>
      </c>
      <c r="K66" s="5">
        <v>-28.630000000000003</v>
      </c>
      <c r="L66" s="5">
        <v>0.56568542494923857</v>
      </c>
    </row>
    <row r="67" spans="1:12" x14ac:dyDescent="0.2">
      <c r="A67" s="1" t="s">
        <v>277</v>
      </c>
      <c r="B67" s="2">
        <v>38.020000000000003</v>
      </c>
      <c r="C67" s="5">
        <v>-28.71</v>
      </c>
      <c r="D67" s="5">
        <v>9.9537559999999994E-3</v>
      </c>
      <c r="E67" s="5">
        <v>-29.34</v>
      </c>
      <c r="F67" s="5">
        <v>2.9733906000000001E-2</v>
      </c>
      <c r="G67" s="5">
        <v>-29.26</v>
      </c>
      <c r="H67" s="5">
        <v>0.14072600399999999</v>
      </c>
      <c r="I67" s="5">
        <v>-28.98</v>
      </c>
      <c r="J67" s="5">
        <v>0.37613433800000001</v>
      </c>
      <c r="K67" s="5">
        <v>-28.79</v>
      </c>
      <c r="L67" s="5">
        <v>1.2001331079999999</v>
      </c>
    </row>
    <row r="68" spans="1:12" x14ac:dyDescent="0.2">
      <c r="A68" s="1" t="s">
        <v>322</v>
      </c>
      <c r="B68" s="2">
        <v>40.92</v>
      </c>
      <c r="C68" s="5">
        <v>-26.065000000000001</v>
      </c>
      <c r="D68" s="5">
        <v>0.77074639</v>
      </c>
      <c r="E68" s="5">
        <v>-26.015000000000001</v>
      </c>
      <c r="F68" s="5">
        <v>2.1213200000000001E-2</v>
      </c>
      <c r="G68" s="5">
        <v>-27.635000000000002</v>
      </c>
      <c r="H68" s="5">
        <v>0.31819805000000001</v>
      </c>
      <c r="I68" s="5">
        <v>-28.164999999999999</v>
      </c>
      <c r="J68" s="5">
        <v>0.94045202000000006</v>
      </c>
      <c r="K68" s="5">
        <v>-28.67</v>
      </c>
      <c r="L68" s="5">
        <v>0.62225397000000005</v>
      </c>
    </row>
    <row r="69" spans="1:12" x14ac:dyDescent="0.2">
      <c r="A69" s="1" t="s">
        <v>501</v>
      </c>
      <c r="B69" s="2">
        <v>41.16</v>
      </c>
      <c r="C69" s="5">
        <v>-28.293708954832667</v>
      </c>
      <c r="D69" s="5">
        <v>0.26490433761333892</v>
      </c>
      <c r="E69" s="5">
        <v>-29.095439822877701</v>
      </c>
      <c r="F69" s="5">
        <v>0.8417765962171847</v>
      </c>
      <c r="G69" s="5">
        <v>-29.641125050115701</v>
      </c>
      <c r="H69" s="5">
        <v>0.28009803877891415</v>
      </c>
      <c r="I69" s="5">
        <v>-29.042994270732596</v>
      </c>
      <c r="J69" s="5">
        <v>0.16292183068758312</v>
      </c>
      <c r="K69" s="5">
        <v>-29.105403898179887</v>
      </c>
      <c r="L69" s="5">
        <v>0.45519394035213717</v>
      </c>
    </row>
    <row r="77" spans="1:12" x14ac:dyDescent="0.2">
      <c r="A77" s="1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150E-B9E5-4FF3-ABD9-C18CD1221416}">
  <dimension ref="A1:F88"/>
  <sheetViews>
    <sheetView workbookViewId="0"/>
  </sheetViews>
  <sheetFormatPr baseColWidth="10" defaultColWidth="12.5" defaultRowHeight="14" x14ac:dyDescent="0.15"/>
  <cols>
    <col min="1" max="1" width="14" style="1" bestFit="1" customWidth="1"/>
    <col min="2" max="2" width="8.5" style="9" bestFit="1" customWidth="1"/>
    <col min="3" max="3" width="5.33203125" style="9" bestFit="1" customWidth="1"/>
    <col min="4" max="4" width="16.6640625" style="9" bestFit="1" customWidth="1"/>
    <col min="5" max="5" width="19.6640625" style="9" bestFit="1" customWidth="1"/>
    <col min="6" max="6" width="20.33203125" style="9" bestFit="1" customWidth="1"/>
    <col min="7" max="16384" width="12.5" style="9"/>
  </cols>
  <sheetData>
    <row r="1" spans="1:6" x14ac:dyDescent="0.15">
      <c r="A1" s="1" t="s">
        <v>454</v>
      </c>
      <c r="B1" s="9" t="s">
        <v>500</v>
      </c>
      <c r="C1" s="21" t="s">
        <v>499</v>
      </c>
      <c r="D1" s="21" t="s">
        <v>498</v>
      </c>
      <c r="E1" s="21" t="s">
        <v>497</v>
      </c>
      <c r="F1" s="21" t="s">
        <v>496</v>
      </c>
    </row>
    <row r="2" spans="1:6" x14ac:dyDescent="0.15">
      <c r="A2" s="1" t="s">
        <v>434</v>
      </c>
      <c r="B2" s="9">
        <v>5.35</v>
      </c>
      <c r="C2" s="22">
        <v>3.0200322700000002</v>
      </c>
      <c r="D2" s="22">
        <v>0.17</v>
      </c>
      <c r="E2" s="22">
        <v>0</v>
      </c>
      <c r="F2" s="22">
        <v>0</v>
      </c>
    </row>
    <row r="3" spans="1:6" x14ac:dyDescent="0.15">
      <c r="A3" s="1" t="s">
        <v>436</v>
      </c>
      <c r="B3" s="9">
        <v>5.52</v>
      </c>
      <c r="C3" s="22">
        <v>2.5</v>
      </c>
      <c r="D3" s="22">
        <v>0.17</v>
      </c>
      <c r="E3" s="22">
        <v>0</v>
      </c>
      <c r="F3" s="22">
        <v>0</v>
      </c>
    </row>
    <row r="4" spans="1:6" x14ac:dyDescent="0.15">
      <c r="A4" s="1" t="s">
        <v>446</v>
      </c>
      <c r="B4" s="9">
        <v>7.48</v>
      </c>
      <c r="C4" s="22">
        <v>2.5790000000000002</v>
      </c>
      <c r="D4" s="22">
        <v>0</v>
      </c>
      <c r="E4" s="22">
        <v>0</v>
      </c>
      <c r="F4" s="22">
        <v>0</v>
      </c>
    </row>
    <row r="5" spans="1:6" x14ac:dyDescent="0.15">
      <c r="A5" s="1" t="s">
        <v>451</v>
      </c>
      <c r="B5" s="9">
        <v>8.7100000000000009</v>
      </c>
      <c r="C5" s="22">
        <v>2.8</v>
      </c>
      <c r="D5" s="22">
        <v>0.21</v>
      </c>
      <c r="E5" s="22">
        <v>0</v>
      </c>
      <c r="F5" s="22">
        <v>0</v>
      </c>
    </row>
    <row r="6" spans="1:6" x14ac:dyDescent="0.15">
      <c r="A6" s="1" t="s">
        <v>0</v>
      </c>
      <c r="B6" s="9">
        <v>8.99</v>
      </c>
      <c r="C6" s="22">
        <v>2.9</v>
      </c>
      <c r="D6" s="22"/>
      <c r="E6" s="22"/>
      <c r="F6" s="22"/>
    </row>
    <row r="7" spans="1:6" x14ac:dyDescent="0.15">
      <c r="A7" s="1" t="s">
        <v>2</v>
      </c>
      <c r="B7" s="9">
        <v>9.17</v>
      </c>
      <c r="C7" s="22">
        <v>3.163405</v>
      </c>
      <c r="D7" s="22">
        <v>0.21</v>
      </c>
      <c r="E7" s="22">
        <v>0</v>
      </c>
      <c r="F7" s="22">
        <v>0</v>
      </c>
    </row>
    <row r="8" spans="1:6" x14ac:dyDescent="0.15">
      <c r="A8" s="1" t="s">
        <v>9</v>
      </c>
      <c r="B8" s="9">
        <v>9.82</v>
      </c>
      <c r="C8" s="22">
        <v>3.3</v>
      </c>
      <c r="D8" s="22">
        <v>0</v>
      </c>
      <c r="E8" s="22">
        <v>0</v>
      </c>
      <c r="F8" s="22">
        <v>0</v>
      </c>
    </row>
    <row r="9" spans="1:6" x14ac:dyDescent="0.15">
      <c r="A9" s="1" t="s">
        <v>14</v>
      </c>
      <c r="B9" s="9">
        <v>10.28</v>
      </c>
      <c r="C9" s="22">
        <v>3.34</v>
      </c>
      <c r="D9" s="22">
        <v>0</v>
      </c>
      <c r="E9" s="22">
        <v>0</v>
      </c>
      <c r="F9" s="22">
        <v>0</v>
      </c>
    </row>
    <row r="10" spans="1:6" x14ac:dyDescent="0.15">
      <c r="A10" s="1" t="s">
        <v>17</v>
      </c>
      <c r="B10" s="9">
        <v>10.55</v>
      </c>
      <c r="C10" s="22">
        <v>4</v>
      </c>
      <c r="D10" s="22">
        <v>0.14000000000000001</v>
      </c>
      <c r="E10" s="22">
        <v>0</v>
      </c>
      <c r="F10" s="22">
        <v>0</v>
      </c>
    </row>
    <row r="11" spans="1:6" x14ac:dyDescent="0.15">
      <c r="A11" s="1" t="s">
        <v>18</v>
      </c>
      <c r="B11" s="9">
        <v>10.65</v>
      </c>
      <c r="C11" s="22">
        <v>3</v>
      </c>
      <c r="D11" s="22">
        <v>0.17</v>
      </c>
      <c r="E11" s="22"/>
      <c r="F11" s="22"/>
    </row>
    <row r="12" spans="1:6" x14ac:dyDescent="0.15">
      <c r="A12" s="1" t="s">
        <v>21</v>
      </c>
      <c r="B12" s="9">
        <v>10.92</v>
      </c>
      <c r="C12" s="22">
        <v>3.11443</v>
      </c>
      <c r="D12" s="22">
        <v>0</v>
      </c>
      <c r="E12" s="22">
        <v>0</v>
      </c>
      <c r="F12" s="22">
        <v>0</v>
      </c>
    </row>
    <row r="13" spans="1:6" x14ac:dyDescent="0.15">
      <c r="A13" s="1" t="s">
        <v>24</v>
      </c>
      <c r="B13" s="9">
        <v>11.2</v>
      </c>
      <c r="C13" s="22">
        <v>2.9</v>
      </c>
      <c r="D13" s="22">
        <v>0</v>
      </c>
      <c r="E13" s="22">
        <v>0</v>
      </c>
      <c r="F13" s="22"/>
    </row>
    <row r="14" spans="1:6" x14ac:dyDescent="0.15">
      <c r="A14" s="1" t="s">
        <v>25</v>
      </c>
      <c r="B14" s="9">
        <v>11.29</v>
      </c>
      <c r="C14" s="22">
        <v>4.0599999999999996</v>
      </c>
      <c r="D14" s="22">
        <v>0.20699999999999999</v>
      </c>
      <c r="E14" s="22">
        <v>0</v>
      </c>
      <c r="F14" s="22">
        <v>0</v>
      </c>
    </row>
    <row r="15" spans="1:6" x14ac:dyDescent="0.15">
      <c r="A15" s="1" t="s">
        <v>26</v>
      </c>
      <c r="B15" s="9">
        <v>11.38</v>
      </c>
      <c r="C15" s="22">
        <v>3</v>
      </c>
      <c r="D15" s="22">
        <v>0.14000000000000001</v>
      </c>
      <c r="E15" s="22">
        <v>0</v>
      </c>
      <c r="F15" s="22">
        <v>0</v>
      </c>
    </row>
    <row r="16" spans="1:6" x14ac:dyDescent="0.15">
      <c r="A16" s="1" t="s">
        <v>27</v>
      </c>
      <c r="B16" s="9">
        <v>11.48</v>
      </c>
      <c r="C16" s="22">
        <v>4.3</v>
      </c>
      <c r="D16" s="22">
        <v>0.11</v>
      </c>
      <c r="E16" s="22">
        <v>0</v>
      </c>
      <c r="F16" s="22">
        <v>0</v>
      </c>
    </row>
    <row r="17" spans="1:6" x14ac:dyDescent="0.15">
      <c r="A17" s="1" t="s">
        <v>33</v>
      </c>
      <c r="B17" s="9">
        <v>12.03</v>
      </c>
      <c r="C17" s="22">
        <v>4.6653789999999997</v>
      </c>
      <c r="D17" s="22">
        <v>0.13</v>
      </c>
      <c r="E17" s="22">
        <v>0</v>
      </c>
      <c r="F17" s="22">
        <v>0</v>
      </c>
    </row>
    <row r="18" spans="1:6" x14ac:dyDescent="0.15">
      <c r="A18" s="1" t="s">
        <v>41</v>
      </c>
      <c r="B18" s="9">
        <v>12.72</v>
      </c>
      <c r="C18" s="22">
        <v>4.8</v>
      </c>
      <c r="D18" s="22">
        <v>0.17</v>
      </c>
      <c r="E18" s="22">
        <v>0</v>
      </c>
      <c r="F18" s="22">
        <v>0</v>
      </c>
    </row>
    <row r="19" spans="1:6" x14ac:dyDescent="0.15">
      <c r="A19" s="1" t="s">
        <v>49</v>
      </c>
      <c r="B19" s="9">
        <v>13.66</v>
      </c>
      <c r="C19" s="22">
        <v>4.4400000000000004</v>
      </c>
      <c r="D19" s="22">
        <v>0.16700000000000001</v>
      </c>
      <c r="E19" s="22">
        <v>0</v>
      </c>
      <c r="F19" s="22">
        <v>0</v>
      </c>
    </row>
    <row r="20" spans="1:6" x14ac:dyDescent="0.15">
      <c r="A20" s="1" t="s">
        <v>50</v>
      </c>
      <c r="B20" s="9">
        <v>13.78</v>
      </c>
      <c r="C20" s="22">
        <v>4.5999999999999996</v>
      </c>
      <c r="D20" s="22">
        <v>0.16</v>
      </c>
      <c r="E20" s="22">
        <v>0</v>
      </c>
      <c r="F20" s="22">
        <v>0</v>
      </c>
    </row>
    <row r="21" spans="1:6" x14ac:dyDescent="0.15">
      <c r="A21" s="1" t="s">
        <v>52</v>
      </c>
      <c r="B21" s="9">
        <v>14.02</v>
      </c>
      <c r="C21" s="22">
        <v>4.7</v>
      </c>
      <c r="D21" s="22">
        <v>0.16</v>
      </c>
      <c r="E21" s="22">
        <v>0</v>
      </c>
      <c r="F21" s="22">
        <v>0</v>
      </c>
    </row>
    <row r="22" spans="1:6" x14ac:dyDescent="0.15">
      <c r="A22" s="1" t="s">
        <v>55</v>
      </c>
      <c r="B22" s="9">
        <v>14.37</v>
      </c>
      <c r="C22" s="22">
        <v>4.0328559999999998</v>
      </c>
      <c r="D22" s="22">
        <v>0.17</v>
      </c>
      <c r="E22" s="22">
        <v>0</v>
      </c>
      <c r="F22" s="22">
        <v>0</v>
      </c>
    </row>
    <row r="23" spans="1:6" x14ac:dyDescent="0.15">
      <c r="A23" s="1" t="s">
        <v>57</v>
      </c>
      <c r="B23" s="9">
        <v>14.61</v>
      </c>
      <c r="C23" s="22">
        <v>4.3</v>
      </c>
      <c r="D23" s="22">
        <v>0.14000000000000001</v>
      </c>
      <c r="E23" s="22">
        <v>0</v>
      </c>
      <c r="F23" s="22">
        <v>0</v>
      </c>
    </row>
    <row r="24" spans="1:6" x14ac:dyDescent="0.15">
      <c r="A24" s="1" t="s">
        <v>58</v>
      </c>
      <c r="B24" s="9">
        <v>14.73</v>
      </c>
      <c r="C24" s="22">
        <v>4.6130000000000004</v>
      </c>
      <c r="D24" s="22">
        <v>0.14299999999999999</v>
      </c>
      <c r="E24" s="22">
        <v>0</v>
      </c>
      <c r="F24" s="22">
        <v>0</v>
      </c>
    </row>
    <row r="25" spans="1:6" x14ac:dyDescent="0.15">
      <c r="A25" s="1" t="s">
        <v>59</v>
      </c>
      <c r="B25" s="9">
        <v>14.85</v>
      </c>
      <c r="C25" s="22">
        <v>4.5999999999999996</v>
      </c>
      <c r="D25" s="22">
        <v>0.14000000000000001</v>
      </c>
      <c r="E25" s="22">
        <v>0</v>
      </c>
      <c r="F25" s="22">
        <v>0</v>
      </c>
    </row>
    <row r="26" spans="1:6" x14ac:dyDescent="0.15">
      <c r="A26" s="1" t="s">
        <v>67</v>
      </c>
      <c r="B26" s="9">
        <v>15.79</v>
      </c>
      <c r="C26" s="22">
        <v>3.336541</v>
      </c>
      <c r="D26" s="22">
        <v>0.12</v>
      </c>
      <c r="E26" s="22">
        <v>0</v>
      </c>
      <c r="F26" s="22">
        <v>0</v>
      </c>
    </row>
    <row r="27" spans="1:6" x14ac:dyDescent="0.15">
      <c r="A27" s="1" t="s">
        <v>72</v>
      </c>
      <c r="B27" s="9">
        <v>16.38</v>
      </c>
      <c r="C27" s="22">
        <v>4.3600000000000003</v>
      </c>
      <c r="D27" s="22">
        <v>0.19600000000000001</v>
      </c>
      <c r="E27" s="22">
        <v>0</v>
      </c>
      <c r="F27" s="22">
        <v>0</v>
      </c>
    </row>
    <row r="28" spans="1:6" x14ac:dyDescent="0.15">
      <c r="A28" s="1" t="s">
        <v>77</v>
      </c>
      <c r="B28" s="9">
        <v>16.98</v>
      </c>
      <c r="C28" s="22">
        <v>3.7</v>
      </c>
      <c r="D28" s="22">
        <v>0.13</v>
      </c>
      <c r="E28" s="22">
        <v>0</v>
      </c>
      <c r="F28" s="22">
        <v>0</v>
      </c>
    </row>
    <row r="29" spans="1:6" x14ac:dyDescent="0.15">
      <c r="A29" s="1" t="s">
        <v>79</v>
      </c>
      <c r="B29" s="9">
        <v>17.21</v>
      </c>
      <c r="C29" s="22">
        <v>3.9</v>
      </c>
      <c r="D29" s="22">
        <v>0.08</v>
      </c>
      <c r="E29" s="22">
        <v>0</v>
      </c>
      <c r="F29" s="22">
        <v>0</v>
      </c>
    </row>
    <row r="30" spans="1:6" x14ac:dyDescent="0.15">
      <c r="A30" s="1" t="s">
        <v>83</v>
      </c>
      <c r="B30" s="9">
        <v>17.690000000000001</v>
      </c>
      <c r="C30" s="22">
        <v>5.939114</v>
      </c>
      <c r="D30" s="22">
        <v>0.14000000000000001</v>
      </c>
      <c r="E30" s="22">
        <v>0</v>
      </c>
      <c r="F30" s="22">
        <v>0</v>
      </c>
    </row>
    <row r="31" spans="1:6" x14ac:dyDescent="0.15">
      <c r="A31" s="1" t="s">
        <v>85</v>
      </c>
      <c r="B31" s="9">
        <v>17.920000000000002</v>
      </c>
      <c r="C31" s="22">
        <v>3.4</v>
      </c>
      <c r="D31" s="22">
        <v>0.1</v>
      </c>
      <c r="E31" s="22">
        <v>0</v>
      </c>
      <c r="F31" s="22">
        <v>0</v>
      </c>
    </row>
    <row r="32" spans="1:6" x14ac:dyDescent="0.15">
      <c r="A32" s="1" t="s">
        <v>90</v>
      </c>
      <c r="B32" s="9">
        <v>18.510000000000002</v>
      </c>
      <c r="C32" s="22">
        <v>3.625</v>
      </c>
      <c r="D32" s="22">
        <v>0</v>
      </c>
      <c r="E32" s="22">
        <v>0</v>
      </c>
      <c r="F32" s="22">
        <v>0</v>
      </c>
    </row>
    <row r="33" spans="1:6" x14ac:dyDescent="0.15">
      <c r="A33" s="1" t="s">
        <v>93</v>
      </c>
      <c r="B33" s="9">
        <v>18.87</v>
      </c>
      <c r="C33" s="22">
        <v>2.6</v>
      </c>
      <c r="D33" s="22">
        <v>0</v>
      </c>
      <c r="E33" s="22">
        <v>0</v>
      </c>
      <c r="F33" s="22">
        <v>0</v>
      </c>
    </row>
    <row r="34" spans="1:6" x14ac:dyDescent="0.15">
      <c r="A34" s="1" t="s">
        <v>96</v>
      </c>
      <c r="B34" s="9">
        <v>19.190000000000001</v>
      </c>
      <c r="C34" s="22">
        <v>3.9</v>
      </c>
      <c r="D34" s="22">
        <v>0.13</v>
      </c>
      <c r="E34" s="22">
        <v>0</v>
      </c>
      <c r="F34" s="22">
        <v>0</v>
      </c>
    </row>
    <row r="35" spans="1:6" x14ac:dyDescent="0.15">
      <c r="A35" s="1" t="s">
        <v>103</v>
      </c>
      <c r="B35" s="9">
        <v>20.18</v>
      </c>
      <c r="C35" s="22">
        <v>2.431041</v>
      </c>
      <c r="D35" s="22">
        <v>0.23</v>
      </c>
      <c r="E35" s="22">
        <v>0</v>
      </c>
      <c r="F35" s="22">
        <v>0</v>
      </c>
    </row>
    <row r="36" spans="1:6" x14ac:dyDescent="0.15">
      <c r="A36" s="1" t="s">
        <v>108</v>
      </c>
      <c r="B36" s="9">
        <v>20.89</v>
      </c>
      <c r="C36" s="22">
        <v>2.7</v>
      </c>
      <c r="D36" s="22">
        <v>0.35</v>
      </c>
      <c r="E36" s="22">
        <v>0.38</v>
      </c>
      <c r="F36" s="22">
        <v>0.41</v>
      </c>
    </row>
    <row r="37" spans="1:6" x14ac:dyDescent="0.15">
      <c r="A37" s="1" t="s">
        <v>111</v>
      </c>
      <c r="B37" s="9">
        <v>21.31</v>
      </c>
      <c r="C37" s="22">
        <v>3.0710000000000002</v>
      </c>
      <c r="D37" s="22">
        <v>0.25800000000000001</v>
      </c>
      <c r="E37" s="22">
        <v>0.08</v>
      </c>
      <c r="F37" s="22">
        <v>0.08</v>
      </c>
    </row>
    <row r="38" spans="1:6" x14ac:dyDescent="0.15">
      <c r="A38" s="1" t="s">
        <v>115</v>
      </c>
      <c r="B38" s="9">
        <v>21.79</v>
      </c>
      <c r="C38" s="22">
        <v>2.5</v>
      </c>
      <c r="D38" s="22">
        <v>0.33</v>
      </c>
      <c r="E38" s="22">
        <v>0.37</v>
      </c>
      <c r="F38" s="22">
        <v>0.39</v>
      </c>
    </row>
    <row r="39" spans="1:6" x14ac:dyDescent="0.15">
      <c r="A39" s="1" t="s">
        <v>120</v>
      </c>
      <c r="B39" s="9">
        <v>22.48</v>
      </c>
      <c r="C39" s="22">
        <v>2.2716430000000001</v>
      </c>
      <c r="D39" s="22">
        <v>0.21</v>
      </c>
      <c r="E39" s="22">
        <v>0.26</v>
      </c>
      <c r="F39" s="22">
        <v>0.25</v>
      </c>
    </row>
    <row r="40" spans="1:6" x14ac:dyDescent="0.15">
      <c r="A40" s="1" t="s">
        <v>125</v>
      </c>
      <c r="B40" s="9">
        <v>23.17</v>
      </c>
      <c r="C40" s="22">
        <v>4.4000000000000004</v>
      </c>
      <c r="D40" s="22">
        <v>0.28999999999999998</v>
      </c>
      <c r="E40" s="22">
        <v>0</v>
      </c>
      <c r="F40" s="22">
        <v>0</v>
      </c>
    </row>
    <row r="41" spans="1:6" x14ac:dyDescent="0.15">
      <c r="A41" s="1" t="s">
        <v>127</v>
      </c>
      <c r="B41" s="9">
        <v>23.45</v>
      </c>
      <c r="C41" s="22">
        <v>3.1960000000000002</v>
      </c>
      <c r="D41" s="22">
        <v>0.39400000000000002</v>
      </c>
      <c r="E41" s="22">
        <v>0.05</v>
      </c>
      <c r="F41" s="22">
        <v>0.04</v>
      </c>
    </row>
    <row r="42" spans="1:6" x14ac:dyDescent="0.15">
      <c r="A42" s="1" t="s">
        <v>134</v>
      </c>
      <c r="B42" s="9">
        <v>24.42</v>
      </c>
      <c r="C42" s="22">
        <v>2.9</v>
      </c>
      <c r="D42" s="22">
        <v>0.24</v>
      </c>
      <c r="E42" s="22">
        <v>0.19</v>
      </c>
      <c r="F42" s="22">
        <v>0.19</v>
      </c>
    </row>
    <row r="43" spans="1:6" x14ac:dyDescent="0.15">
      <c r="A43" s="1" t="s">
        <v>137</v>
      </c>
      <c r="B43" s="9">
        <v>24.84</v>
      </c>
      <c r="C43" s="22">
        <v>4</v>
      </c>
      <c r="D43" s="22">
        <v>0.3</v>
      </c>
      <c r="E43" s="22">
        <v>0.08</v>
      </c>
      <c r="F43" s="22">
        <v>0.09</v>
      </c>
    </row>
    <row r="44" spans="1:6" x14ac:dyDescent="0.15">
      <c r="A44" s="1" t="s">
        <v>139</v>
      </c>
      <c r="B44" s="9">
        <v>25.11</v>
      </c>
      <c r="C44" s="22">
        <v>3.391216</v>
      </c>
      <c r="D44" s="22">
        <v>0.28999999999999998</v>
      </c>
      <c r="E44" s="22">
        <v>0.14000000000000001</v>
      </c>
      <c r="F44" s="22">
        <v>0.13</v>
      </c>
    </row>
    <row r="45" spans="1:6" x14ac:dyDescent="0.15">
      <c r="A45" s="1" t="s">
        <v>142</v>
      </c>
      <c r="B45" s="9">
        <v>25.53</v>
      </c>
      <c r="C45" s="22">
        <v>3.7</v>
      </c>
      <c r="D45" s="22">
        <v>0.32</v>
      </c>
      <c r="E45" s="22">
        <v>0.13</v>
      </c>
      <c r="F45" s="22">
        <v>0.13</v>
      </c>
    </row>
    <row r="46" spans="1:6" x14ac:dyDescent="0.15">
      <c r="A46" s="1" t="s">
        <v>146</v>
      </c>
      <c r="B46" s="9">
        <v>26.08</v>
      </c>
      <c r="C46" s="22">
        <v>3.68</v>
      </c>
      <c r="D46" s="22">
        <v>0.313</v>
      </c>
      <c r="E46" s="22">
        <v>0.09</v>
      </c>
      <c r="F46" s="22">
        <v>0.11</v>
      </c>
    </row>
    <row r="47" spans="1:6" x14ac:dyDescent="0.15">
      <c r="A47" s="1" t="s">
        <v>148</v>
      </c>
      <c r="B47" s="9">
        <v>26.26</v>
      </c>
      <c r="C47" s="22">
        <v>5</v>
      </c>
      <c r="D47" s="22">
        <v>0.19</v>
      </c>
      <c r="E47" s="22">
        <v>0</v>
      </c>
      <c r="F47" s="22">
        <v>0</v>
      </c>
    </row>
    <row r="48" spans="1:6" x14ac:dyDescent="0.15">
      <c r="A48" s="1" t="s">
        <v>152</v>
      </c>
      <c r="B48" s="9">
        <v>26.57</v>
      </c>
      <c r="C48" s="22">
        <v>3.6</v>
      </c>
      <c r="D48" s="22">
        <v>0.31</v>
      </c>
      <c r="E48" s="22">
        <v>0</v>
      </c>
      <c r="F48" s="22">
        <v>0</v>
      </c>
    </row>
    <row r="49" spans="1:6" x14ac:dyDescent="0.15">
      <c r="A49" s="1" t="s">
        <v>156</v>
      </c>
      <c r="B49" s="9">
        <v>26.88</v>
      </c>
      <c r="C49" s="22">
        <v>2.3324220000000002</v>
      </c>
      <c r="D49" s="22">
        <v>0.28000000000000003</v>
      </c>
      <c r="E49" s="22">
        <v>0.04</v>
      </c>
      <c r="F49" s="22">
        <v>7.0000000000000007E-2</v>
      </c>
    </row>
    <row r="50" spans="1:6" x14ac:dyDescent="0.15">
      <c r="A50" s="1" t="s">
        <v>162</v>
      </c>
      <c r="B50" s="9">
        <v>27.35</v>
      </c>
      <c r="C50" s="22">
        <v>3.7</v>
      </c>
      <c r="D50" s="22">
        <v>0.34</v>
      </c>
      <c r="E50" s="22">
        <v>0.1</v>
      </c>
      <c r="F50" s="22">
        <v>0.09</v>
      </c>
    </row>
    <row r="51" spans="1:6" x14ac:dyDescent="0.15">
      <c r="A51" s="1" t="s">
        <v>166</v>
      </c>
      <c r="B51" s="9">
        <v>27.66</v>
      </c>
      <c r="C51" s="22">
        <v>3.9260000000000002</v>
      </c>
      <c r="D51" s="22">
        <v>0.27800000000000002</v>
      </c>
      <c r="E51" s="22">
        <v>0.16</v>
      </c>
      <c r="F51" s="22">
        <v>0.17</v>
      </c>
    </row>
    <row r="52" spans="1:6" x14ac:dyDescent="0.15">
      <c r="A52" s="1" t="s">
        <v>168</v>
      </c>
      <c r="B52" s="9">
        <v>27.81</v>
      </c>
      <c r="C52" s="22">
        <v>3.5</v>
      </c>
      <c r="D52" s="22">
        <v>0.28000000000000003</v>
      </c>
      <c r="E52" s="22">
        <v>0.25</v>
      </c>
      <c r="F52" s="22">
        <v>0.26</v>
      </c>
    </row>
    <row r="53" spans="1:6" x14ac:dyDescent="0.15">
      <c r="A53" s="1" t="s">
        <v>168</v>
      </c>
      <c r="B53" s="9">
        <v>27.81</v>
      </c>
      <c r="C53" s="22">
        <v>3.5</v>
      </c>
      <c r="D53" s="22">
        <v>0.21</v>
      </c>
      <c r="E53" s="22">
        <v>0.24</v>
      </c>
      <c r="F53" s="22">
        <v>0.23</v>
      </c>
    </row>
    <row r="54" spans="1:6" x14ac:dyDescent="0.15">
      <c r="A54" s="1" t="s">
        <v>172</v>
      </c>
      <c r="B54" s="9">
        <v>28.12</v>
      </c>
      <c r="C54" s="22">
        <v>3.5</v>
      </c>
      <c r="D54" s="22">
        <v>0.33</v>
      </c>
      <c r="E54" s="22">
        <v>0.33</v>
      </c>
      <c r="F54" s="22">
        <v>0.37</v>
      </c>
    </row>
    <row r="55" spans="1:6" x14ac:dyDescent="0.15">
      <c r="A55" s="1" t="s">
        <v>177</v>
      </c>
      <c r="B55" s="9">
        <v>28.51</v>
      </c>
      <c r="C55" s="22">
        <v>3.1185529999999999</v>
      </c>
      <c r="D55" s="22">
        <v>0.28999999999999998</v>
      </c>
      <c r="E55" s="22">
        <v>0.38</v>
      </c>
      <c r="F55" s="22">
        <v>0.41</v>
      </c>
    </row>
    <row r="56" spans="1:6" x14ac:dyDescent="0.15">
      <c r="A56" s="1" t="s">
        <v>181</v>
      </c>
      <c r="B56" s="9">
        <v>28.82</v>
      </c>
      <c r="C56" s="22">
        <v>4.5</v>
      </c>
      <c r="D56" s="22">
        <v>0.31</v>
      </c>
      <c r="E56" s="22">
        <v>0.1</v>
      </c>
      <c r="F56" s="22">
        <v>0.1</v>
      </c>
    </row>
    <row r="57" spans="1:6" x14ac:dyDescent="0.15">
      <c r="A57" s="1" t="s">
        <v>182</v>
      </c>
      <c r="B57" s="9">
        <v>28.9</v>
      </c>
      <c r="C57" s="22">
        <v>3.661</v>
      </c>
      <c r="D57" s="22">
        <v>0.29599999999999999</v>
      </c>
      <c r="E57" s="22">
        <v>7.0000000000000007E-2</v>
      </c>
      <c r="F57" s="22">
        <v>0.08</v>
      </c>
    </row>
    <row r="58" spans="1:6" x14ac:dyDescent="0.15">
      <c r="A58" s="1" t="s">
        <v>184</v>
      </c>
      <c r="B58" s="9">
        <v>29.06</v>
      </c>
      <c r="C58" s="22">
        <v>3.6</v>
      </c>
      <c r="D58" s="22">
        <v>0.27</v>
      </c>
      <c r="E58" s="22">
        <v>0.12</v>
      </c>
      <c r="F58" s="22">
        <v>0.08</v>
      </c>
    </row>
    <row r="59" spans="1:6" x14ac:dyDescent="0.15">
      <c r="A59" s="1" t="s">
        <v>187</v>
      </c>
      <c r="B59" s="9">
        <v>29.29</v>
      </c>
      <c r="C59" s="22">
        <v>4.2</v>
      </c>
      <c r="D59" s="22">
        <v>0.35</v>
      </c>
      <c r="E59" s="22">
        <v>7.0000000000000007E-2</v>
      </c>
      <c r="F59" s="22">
        <v>0.09</v>
      </c>
    </row>
    <row r="60" spans="1:6" x14ac:dyDescent="0.15">
      <c r="A60" s="1" t="s">
        <v>193</v>
      </c>
      <c r="B60" s="9">
        <v>29.76</v>
      </c>
      <c r="C60" s="22">
        <v>4.0584449999999999</v>
      </c>
      <c r="D60" s="22">
        <v>0.34</v>
      </c>
      <c r="E60" s="22">
        <v>0.09</v>
      </c>
      <c r="F60" s="22">
        <v>0.09</v>
      </c>
    </row>
    <row r="61" spans="1:6" x14ac:dyDescent="0.15">
      <c r="A61" s="1" t="s">
        <v>194</v>
      </c>
      <c r="B61" s="9">
        <v>29.83</v>
      </c>
      <c r="C61" s="22">
        <v>3.8</v>
      </c>
      <c r="D61" s="22">
        <v>0.31</v>
      </c>
      <c r="E61" s="22">
        <v>0</v>
      </c>
      <c r="F61" s="22">
        <v>0</v>
      </c>
    </row>
    <row r="62" spans="1:6" x14ac:dyDescent="0.15">
      <c r="A62" s="1" t="s">
        <v>196</v>
      </c>
      <c r="B62" s="9">
        <v>29.98</v>
      </c>
      <c r="C62" s="22">
        <v>2.7440000000000002</v>
      </c>
      <c r="D62" s="22">
        <v>0.315</v>
      </c>
      <c r="E62" s="22">
        <v>0</v>
      </c>
      <c r="F62" s="22">
        <v>0</v>
      </c>
    </row>
    <row r="63" spans="1:6" x14ac:dyDescent="0.15">
      <c r="A63" s="1" t="s">
        <v>200</v>
      </c>
      <c r="B63" s="9">
        <v>30.38</v>
      </c>
      <c r="C63" s="22">
        <v>2.2000000000000002</v>
      </c>
      <c r="D63" s="22">
        <v>0.13</v>
      </c>
      <c r="E63" s="22">
        <v>0</v>
      </c>
      <c r="F63" s="22">
        <v>0</v>
      </c>
    </row>
    <row r="64" spans="1:6" x14ac:dyDescent="0.15">
      <c r="A64" s="1" t="s">
        <v>212</v>
      </c>
      <c r="B64" s="9">
        <v>31.56</v>
      </c>
      <c r="C64" s="22">
        <v>3.3</v>
      </c>
      <c r="D64" s="22">
        <v>0.1</v>
      </c>
      <c r="E64" s="22">
        <v>0</v>
      </c>
      <c r="F64" s="22">
        <v>0</v>
      </c>
    </row>
    <row r="65" spans="1:6" x14ac:dyDescent="0.15">
      <c r="A65" s="1" t="s">
        <v>261</v>
      </c>
      <c r="B65" s="9">
        <v>36.729999999999997</v>
      </c>
      <c r="C65" s="22">
        <v>2.638042</v>
      </c>
      <c r="D65" s="22">
        <v>0</v>
      </c>
      <c r="E65" s="22">
        <v>0</v>
      </c>
      <c r="F65" s="22">
        <v>0</v>
      </c>
    </row>
    <row r="66" spans="1:6" x14ac:dyDescent="0.15">
      <c r="A66" s="1" t="s">
        <v>262</v>
      </c>
      <c r="B66" s="9">
        <v>36.81</v>
      </c>
      <c r="C66" s="22">
        <v>4.3</v>
      </c>
      <c r="D66" s="22">
        <v>7.0000000000000007E-2</v>
      </c>
      <c r="E66" s="22">
        <v>0</v>
      </c>
      <c r="F66" s="22">
        <v>0</v>
      </c>
    </row>
    <row r="67" spans="1:6" x14ac:dyDescent="0.15">
      <c r="A67" s="1" t="s">
        <v>277</v>
      </c>
      <c r="B67" s="9">
        <v>38.020000000000003</v>
      </c>
      <c r="C67" s="22">
        <v>3.9940000000000002</v>
      </c>
      <c r="D67" s="22">
        <v>0.183</v>
      </c>
      <c r="E67" s="22">
        <v>0</v>
      </c>
      <c r="F67" s="22">
        <v>0</v>
      </c>
    </row>
    <row r="68" spans="1:6" x14ac:dyDescent="0.15">
      <c r="A68" s="1" t="s">
        <v>322</v>
      </c>
      <c r="B68" s="9">
        <v>40.92</v>
      </c>
      <c r="C68" s="22">
        <v>2.9</v>
      </c>
      <c r="D68" s="22">
        <v>0.09</v>
      </c>
      <c r="E68" s="22">
        <v>0</v>
      </c>
      <c r="F68" s="22">
        <v>0</v>
      </c>
    </row>
    <row r="69" spans="1:6" x14ac:dyDescent="0.15">
      <c r="A69" s="1" t="s">
        <v>501</v>
      </c>
      <c r="B69" s="9">
        <v>41.16</v>
      </c>
      <c r="C69" s="22">
        <v>4.0999999999999996</v>
      </c>
      <c r="D69" s="22">
        <v>0.15</v>
      </c>
      <c r="E69" s="22">
        <v>0</v>
      </c>
      <c r="F69" s="22">
        <v>0</v>
      </c>
    </row>
    <row r="70" spans="1:6" x14ac:dyDescent="0.15">
      <c r="A70" s="1" t="s">
        <v>115</v>
      </c>
      <c r="B70" s="9">
        <v>21.79</v>
      </c>
      <c r="C70" s="22">
        <v>2.2999999999999998</v>
      </c>
      <c r="D70" s="22">
        <v>0.32</v>
      </c>
      <c r="E70" s="22">
        <v>0.35</v>
      </c>
      <c r="F70" s="22">
        <v>0.38</v>
      </c>
    </row>
    <row r="71" spans="1:6" x14ac:dyDescent="0.15">
      <c r="C71" s="23"/>
      <c r="D71" s="23"/>
      <c r="E71" s="23"/>
      <c r="F71" s="23"/>
    </row>
    <row r="72" spans="1:6" x14ac:dyDescent="0.15">
      <c r="C72" s="23"/>
      <c r="D72" s="23"/>
      <c r="E72" s="23"/>
      <c r="F72" s="23"/>
    </row>
    <row r="73" spans="1:6" x14ac:dyDescent="0.15">
      <c r="C73" s="23"/>
      <c r="D73" s="23"/>
      <c r="E73" s="23"/>
      <c r="F73" s="23"/>
    </row>
    <row r="74" spans="1:6" x14ac:dyDescent="0.15">
      <c r="C74" s="23"/>
      <c r="D74" s="23"/>
      <c r="E74" s="23"/>
      <c r="F74" s="23"/>
    </row>
    <row r="75" spans="1:6" x14ac:dyDescent="0.15">
      <c r="C75" s="23"/>
      <c r="D75" s="23"/>
      <c r="E75" s="23"/>
      <c r="F75" s="23"/>
    </row>
    <row r="76" spans="1:6" x14ac:dyDescent="0.15">
      <c r="C76" s="23"/>
      <c r="D76" s="23"/>
      <c r="E76" s="23"/>
      <c r="F76" s="23"/>
    </row>
    <row r="77" spans="1:6" x14ac:dyDescent="0.15">
      <c r="C77" s="23"/>
      <c r="D77" s="23"/>
      <c r="E77" s="23"/>
      <c r="F77" s="23"/>
    </row>
    <row r="78" spans="1:6" x14ac:dyDescent="0.15">
      <c r="C78" s="23"/>
      <c r="D78" s="23"/>
      <c r="E78" s="23"/>
      <c r="F78" s="23"/>
    </row>
    <row r="79" spans="1:6" x14ac:dyDescent="0.15">
      <c r="C79" s="23"/>
      <c r="D79" s="23"/>
      <c r="E79" s="23"/>
      <c r="F79" s="23"/>
    </row>
    <row r="80" spans="1:6" x14ac:dyDescent="0.15">
      <c r="C80" s="23"/>
      <c r="D80" s="23"/>
      <c r="E80" s="23"/>
      <c r="F80" s="23"/>
    </row>
    <row r="81" spans="3:6" x14ac:dyDescent="0.15">
      <c r="C81" s="23"/>
      <c r="D81" s="23"/>
      <c r="E81" s="23"/>
      <c r="F81" s="23"/>
    </row>
    <row r="82" spans="3:6" x14ac:dyDescent="0.15">
      <c r="C82" s="23"/>
      <c r="D82" s="23"/>
      <c r="E82" s="23"/>
      <c r="F82" s="23"/>
    </row>
    <row r="83" spans="3:6" x14ac:dyDescent="0.15">
      <c r="C83" s="23"/>
      <c r="D83" s="23"/>
      <c r="E83" s="23"/>
      <c r="F83" s="23"/>
    </row>
    <row r="84" spans="3:6" x14ac:dyDescent="0.15">
      <c r="C84" s="23"/>
      <c r="D84" s="23"/>
      <c r="E84" s="23"/>
      <c r="F84" s="23"/>
    </row>
    <row r="85" spans="3:6" x14ac:dyDescent="0.15">
      <c r="C85" s="23"/>
      <c r="D85" s="24"/>
      <c r="E85" s="23"/>
      <c r="F85" s="23"/>
    </row>
    <row r="86" spans="3:6" x14ac:dyDescent="0.15">
      <c r="C86" s="23"/>
      <c r="D86" s="23"/>
      <c r="E86" s="23"/>
      <c r="F86" s="23"/>
    </row>
    <row r="87" spans="3:6" x14ac:dyDescent="0.15">
      <c r="C87" s="23"/>
      <c r="D87" s="23"/>
      <c r="E87" s="23"/>
      <c r="F87" s="23"/>
    </row>
    <row r="88" spans="3:6" x14ac:dyDescent="0.15">
      <c r="C88" s="23"/>
      <c r="D88" s="23"/>
      <c r="E88" s="23"/>
      <c r="F88" s="2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99DC-4BBC-4F12-8B42-9A53D3B6897C}">
  <dimension ref="A1:C71"/>
  <sheetViews>
    <sheetView workbookViewId="0"/>
  </sheetViews>
  <sheetFormatPr baseColWidth="10" defaultColWidth="12.5" defaultRowHeight="14" x14ac:dyDescent="0.15"/>
  <cols>
    <col min="1" max="1" width="14" style="1" bestFit="1" customWidth="1"/>
    <col min="2" max="2" width="8.5" style="8" bestFit="1" customWidth="1"/>
    <col min="3" max="3" width="18.5" style="8" bestFit="1" customWidth="1"/>
    <col min="4" max="16384" width="12.5" style="9"/>
  </cols>
  <sheetData>
    <row r="1" spans="1:3" x14ac:dyDescent="0.15">
      <c r="A1" s="1" t="s">
        <v>454</v>
      </c>
      <c r="B1" s="9" t="s">
        <v>500</v>
      </c>
      <c r="C1" s="10" t="s">
        <v>495</v>
      </c>
    </row>
    <row r="2" spans="1:3" x14ac:dyDescent="0.15">
      <c r="A2" s="1" t="s">
        <v>434</v>
      </c>
      <c r="B2" s="11">
        <v>5.35</v>
      </c>
      <c r="C2" s="12">
        <v>0.4</v>
      </c>
    </row>
    <row r="3" spans="1:3" x14ac:dyDescent="0.15">
      <c r="A3" s="1" t="s">
        <v>436</v>
      </c>
      <c r="B3" s="11">
        <v>5.52</v>
      </c>
      <c r="C3" s="12">
        <v>0.3</v>
      </c>
    </row>
    <row r="4" spans="1:3" x14ac:dyDescent="0.15">
      <c r="A4" s="1" t="s">
        <v>446</v>
      </c>
      <c r="B4" s="11">
        <v>7.48</v>
      </c>
      <c r="C4" s="12">
        <v>0.7</v>
      </c>
    </row>
    <row r="5" spans="1:3" x14ac:dyDescent="0.15">
      <c r="A5" s="1" t="s">
        <v>451</v>
      </c>
      <c r="B5" s="11">
        <v>8.7100000000000009</v>
      </c>
      <c r="C5" s="12">
        <v>0.7</v>
      </c>
    </row>
    <row r="6" spans="1:3" x14ac:dyDescent="0.15">
      <c r="A6" s="1" t="s">
        <v>0</v>
      </c>
      <c r="B6" s="11">
        <v>8.99</v>
      </c>
      <c r="C6" s="12">
        <v>0.9</v>
      </c>
    </row>
    <row r="7" spans="1:3" x14ac:dyDescent="0.15">
      <c r="A7" s="1" t="s">
        <v>2</v>
      </c>
      <c r="B7" s="11">
        <v>9.17</v>
      </c>
      <c r="C7" s="12">
        <v>0.8</v>
      </c>
    </row>
    <row r="8" spans="1:3" x14ac:dyDescent="0.15">
      <c r="A8" s="1" t="s">
        <v>9</v>
      </c>
      <c r="B8" s="11">
        <v>9.82</v>
      </c>
      <c r="C8" s="12">
        <v>0.9</v>
      </c>
    </row>
    <row r="9" spans="1:3" x14ac:dyDescent="0.15">
      <c r="A9" s="1" t="s">
        <v>14</v>
      </c>
      <c r="B9" s="11">
        <v>10.28</v>
      </c>
      <c r="C9" s="12">
        <v>0.8</v>
      </c>
    </row>
    <row r="10" spans="1:3" x14ac:dyDescent="0.15">
      <c r="A10" s="1" t="s">
        <v>17</v>
      </c>
      <c r="B10" s="11">
        <v>10.55</v>
      </c>
      <c r="C10" s="12">
        <v>0.8</v>
      </c>
    </row>
    <row r="11" spans="1:3" x14ac:dyDescent="0.15">
      <c r="A11" s="1" t="s">
        <v>18</v>
      </c>
      <c r="B11" s="11">
        <v>10.65</v>
      </c>
      <c r="C11" s="12">
        <v>0.9</v>
      </c>
    </row>
    <row r="12" spans="1:3" x14ac:dyDescent="0.15">
      <c r="A12" s="1" t="s">
        <v>21</v>
      </c>
      <c r="B12" s="11">
        <v>10.92</v>
      </c>
      <c r="C12" s="12"/>
    </row>
    <row r="13" spans="1:3" x14ac:dyDescent="0.15">
      <c r="A13" s="1" t="s">
        <v>24</v>
      </c>
      <c r="B13" s="11">
        <v>11.2</v>
      </c>
      <c r="C13" s="12">
        <v>0.1</v>
      </c>
    </row>
    <row r="14" spans="1:3" x14ac:dyDescent="0.15">
      <c r="A14" s="1" t="s">
        <v>25</v>
      </c>
      <c r="B14" s="11">
        <v>11.29</v>
      </c>
      <c r="C14" s="12"/>
    </row>
    <row r="15" spans="1:3" x14ac:dyDescent="0.15">
      <c r="A15" s="1" t="s">
        <v>26</v>
      </c>
      <c r="B15" s="11">
        <v>11.38</v>
      </c>
      <c r="C15" s="12">
        <v>0.6</v>
      </c>
    </row>
    <row r="16" spans="1:3" x14ac:dyDescent="0.15">
      <c r="A16" s="1" t="s">
        <v>27</v>
      </c>
      <c r="B16" s="11">
        <v>11.48</v>
      </c>
      <c r="C16" s="12">
        <v>0.1</v>
      </c>
    </row>
    <row r="17" spans="1:3" x14ac:dyDescent="0.15">
      <c r="A17" s="1" t="s">
        <v>33</v>
      </c>
      <c r="B17" s="11">
        <v>12.03</v>
      </c>
      <c r="C17" s="12">
        <v>0.8</v>
      </c>
    </row>
    <row r="18" spans="1:3" x14ac:dyDescent="0.15">
      <c r="A18" s="1" t="s">
        <v>41</v>
      </c>
      <c r="B18" s="11">
        <v>12.72</v>
      </c>
      <c r="C18" s="12">
        <v>1</v>
      </c>
    </row>
    <row r="19" spans="1:3" x14ac:dyDescent="0.15">
      <c r="A19" s="1" t="s">
        <v>49</v>
      </c>
      <c r="B19" s="11">
        <v>13.66</v>
      </c>
      <c r="C19" s="12">
        <v>0.9</v>
      </c>
    </row>
    <row r="20" spans="1:3" x14ac:dyDescent="0.15">
      <c r="A20" s="1" t="s">
        <v>50</v>
      </c>
      <c r="B20" s="11">
        <v>13.78</v>
      </c>
      <c r="C20" s="12">
        <v>0.9</v>
      </c>
    </row>
    <row r="21" spans="1:3" x14ac:dyDescent="0.15">
      <c r="A21" s="1" t="s">
        <v>52</v>
      </c>
      <c r="B21" s="11">
        <v>14.02</v>
      </c>
      <c r="C21" s="12">
        <v>1</v>
      </c>
    </row>
    <row r="22" spans="1:3" x14ac:dyDescent="0.15">
      <c r="A22" s="1" t="s">
        <v>55</v>
      </c>
      <c r="B22" s="11">
        <v>14.37</v>
      </c>
      <c r="C22" s="12"/>
    </row>
    <row r="23" spans="1:3" x14ac:dyDescent="0.15">
      <c r="A23" s="1" t="s">
        <v>57</v>
      </c>
      <c r="B23" s="11">
        <v>14.61</v>
      </c>
      <c r="C23" s="12">
        <v>0.9</v>
      </c>
    </row>
    <row r="24" spans="1:3" x14ac:dyDescent="0.15">
      <c r="A24" s="1" t="s">
        <v>58</v>
      </c>
      <c r="B24" s="11">
        <v>14.73</v>
      </c>
      <c r="C24" s="12"/>
    </row>
    <row r="25" spans="1:3" x14ac:dyDescent="0.15">
      <c r="A25" s="1" t="s">
        <v>59</v>
      </c>
      <c r="B25" s="11">
        <v>14.85</v>
      </c>
      <c r="C25" s="12">
        <v>0.3</v>
      </c>
    </row>
    <row r="26" spans="1:3" x14ac:dyDescent="0.15">
      <c r="A26" s="13" t="s">
        <v>61</v>
      </c>
      <c r="B26" s="11">
        <v>15.08</v>
      </c>
      <c r="C26" s="12"/>
    </row>
    <row r="27" spans="1:3" x14ac:dyDescent="0.15">
      <c r="A27" s="1" t="s">
        <v>67</v>
      </c>
      <c r="B27" s="11">
        <v>15.79</v>
      </c>
      <c r="C27" s="12">
        <v>0.9</v>
      </c>
    </row>
    <row r="28" spans="1:3" x14ac:dyDescent="0.15">
      <c r="A28" s="1" t="s">
        <v>72</v>
      </c>
      <c r="B28" s="11">
        <v>16.38</v>
      </c>
      <c r="C28" s="12">
        <v>1</v>
      </c>
    </row>
    <row r="29" spans="1:3" x14ac:dyDescent="0.15">
      <c r="A29" s="1" t="s">
        <v>77</v>
      </c>
      <c r="B29" s="11">
        <v>16.98</v>
      </c>
      <c r="C29" s="12">
        <v>0.9</v>
      </c>
    </row>
    <row r="30" spans="1:3" x14ac:dyDescent="0.15">
      <c r="A30" s="1" t="s">
        <v>79</v>
      </c>
      <c r="B30" s="11">
        <v>17.21</v>
      </c>
      <c r="C30" s="12">
        <v>0.8</v>
      </c>
    </row>
    <row r="31" spans="1:3" x14ac:dyDescent="0.15">
      <c r="A31" s="1" t="s">
        <v>83</v>
      </c>
      <c r="B31" s="11">
        <v>17.690000000000001</v>
      </c>
      <c r="C31" s="12">
        <v>0.9</v>
      </c>
    </row>
    <row r="32" spans="1:3" x14ac:dyDescent="0.15">
      <c r="A32" s="1" t="s">
        <v>85</v>
      </c>
      <c r="B32" s="11">
        <v>17.920000000000002</v>
      </c>
      <c r="C32" s="12">
        <v>0.8</v>
      </c>
    </row>
    <row r="33" spans="1:3" x14ac:dyDescent="0.15">
      <c r="A33" s="1" t="s">
        <v>90</v>
      </c>
      <c r="B33" s="11">
        <v>18.510000000000002</v>
      </c>
      <c r="C33" s="12">
        <v>0.9</v>
      </c>
    </row>
    <row r="34" spans="1:3" x14ac:dyDescent="0.15">
      <c r="A34" s="1" t="s">
        <v>93</v>
      </c>
      <c r="B34" s="11">
        <v>18.87</v>
      </c>
      <c r="C34" s="12">
        <v>0.7</v>
      </c>
    </row>
    <row r="35" spans="1:3" x14ac:dyDescent="0.15">
      <c r="A35" s="1" t="s">
        <v>96</v>
      </c>
      <c r="B35" s="11">
        <v>19.190000000000001</v>
      </c>
      <c r="C35" s="12"/>
    </row>
    <row r="36" spans="1:3" x14ac:dyDescent="0.15">
      <c r="A36" s="1" t="s">
        <v>103</v>
      </c>
      <c r="B36" s="11">
        <v>20.18</v>
      </c>
      <c r="C36" s="12"/>
    </row>
    <row r="37" spans="1:3" x14ac:dyDescent="0.15">
      <c r="A37" s="1" t="s">
        <v>108</v>
      </c>
      <c r="B37" s="11">
        <v>20.89</v>
      </c>
      <c r="C37" s="12">
        <v>0.9</v>
      </c>
    </row>
    <row r="38" spans="1:3" x14ac:dyDescent="0.15">
      <c r="A38" s="1" t="s">
        <v>111</v>
      </c>
      <c r="B38" s="11">
        <v>21.31</v>
      </c>
      <c r="C38" s="12">
        <v>1</v>
      </c>
    </row>
    <row r="39" spans="1:3" x14ac:dyDescent="0.15">
      <c r="A39" s="1" t="s">
        <v>115</v>
      </c>
      <c r="B39" s="11">
        <v>21.79</v>
      </c>
      <c r="C39" s="12"/>
    </row>
    <row r="40" spans="1:3" x14ac:dyDescent="0.15">
      <c r="A40" s="1" t="s">
        <v>115</v>
      </c>
      <c r="B40" s="11">
        <v>21.79</v>
      </c>
      <c r="C40" s="12"/>
    </row>
    <row r="41" spans="1:3" x14ac:dyDescent="0.15">
      <c r="A41" s="1" t="s">
        <v>120</v>
      </c>
      <c r="B41" s="11">
        <v>22.48</v>
      </c>
      <c r="C41" s="12">
        <v>0.8</v>
      </c>
    </row>
    <row r="42" spans="1:3" x14ac:dyDescent="0.15">
      <c r="A42" s="1" t="s">
        <v>125</v>
      </c>
      <c r="B42" s="11">
        <v>23.17</v>
      </c>
      <c r="C42" s="12">
        <v>0.9</v>
      </c>
    </row>
    <row r="43" spans="1:3" x14ac:dyDescent="0.15">
      <c r="A43" s="1" t="s">
        <v>127</v>
      </c>
      <c r="B43" s="11">
        <v>23.45</v>
      </c>
      <c r="C43" s="12">
        <v>0.9</v>
      </c>
    </row>
    <row r="44" spans="1:3" x14ac:dyDescent="0.15">
      <c r="A44" s="1" t="s">
        <v>134</v>
      </c>
      <c r="B44" s="11">
        <v>24.42</v>
      </c>
      <c r="C44" s="12">
        <v>0.9</v>
      </c>
    </row>
    <row r="45" spans="1:3" x14ac:dyDescent="0.15">
      <c r="A45" s="1" t="s">
        <v>137</v>
      </c>
      <c r="B45" s="11">
        <v>24.84</v>
      </c>
      <c r="C45" s="12">
        <v>1</v>
      </c>
    </row>
    <row r="46" spans="1:3" x14ac:dyDescent="0.15">
      <c r="A46" s="1" t="s">
        <v>139</v>
      </c>
      <c r="B46" s="11">
        <v>25.11</v>
      </c>
      <c r="C46" s="12">
        <v>0.9</v>
      </c>
    </row>
    <row r="47" spans="1:3" x14ac:dyDescent="0.15">
      <c r="A47" s="1" t="s">
        <v>142</v>
      </c>
      <c r="B47" s="11">
        <v>25.53</v>
      </c>
      <c r="C47" s="12">
        <v>0.8</v>
      </c>
    </row>
    <row r="48" spans="1:3" x14ac:dyDescent="0.15">
      <c r="A48" s="1" t="s">
        <v>146</v>
      </c>
      <c r="B48" s="11">
        <v>26.08</v>
      </c>
      <c r="C48" s="12">
        <v>0.9</v>
      </c>
    </row>
    <row r="49" spans="1:3" x14ac:dyDescent="0.15">
      <c r="A49" s="1" t="s">
        <v>148</v>
      </c>
      <c r="B49" s="11">
        <v>26.26</v>
      </c>
      <c r="C49" s="12">
        <v>0.9</v>
      </c>
    </row>
    <row r="50" spans="1:3" x14ac:dyDescent="0.15">
      <c r="A50" s="1" t="s">
        <v>152</v>
      </c>
      <c r="B50" s="11">
        <v>26.57</v>
      </c>
      <c r="C50" s="12">
        <v>0.6</v>
      </c>
    </row>
    <row r="51" spans="1:3" x14ac:dyDescent="0.15">
      <c r="A51" s="1" t="s">
        <v>156</v>
      </c>
      <c r="B51" s="11">
        <v>26.88</v>
      </c>
      <c r="C51" s="12"/>
    </row>
    <row r="52" spans="1:3" x14ac:dyDescent="0.15">
      <c r="A52" s="1" t="s">
        <v>162</v>
      </c>
      <c r="B52" s="11">
        <v>27.35</v>
      </c>
      <c r="C52" s="12"/>
    </row>
    <row r="53" spans="1:3" x14ac:dyDescent="0.15">
      <c r="A53" s="1" t="s">
        <v>166</v>
      </c>
      <c r="B53" s="11">
        <v>27.66</v>
      </c>
      <c r="C53" s="12"/>
    </row>
    <row r="54" spans="1:3" x14ac:dyDescent="0.15">
      <c r="A54" s="1" t="s">
        <v>168</v>
      </c>
      <c r="B54" s="11">
        <v>27.81</v>
      </c>
      <c r="C54" s="12"/>
    </row>
    <row r="55" spans="1:3" x14ac:dyDescent="0.15">
      <c r="A55" s="1" t="s">
        <v>172</v>
      </c>
      <c r="B55" s="11">
        <v>28.12</v>
      </c>
      <c r="C55" s="12"/>
    </row>
    <row r="56" spans="1:3" x14ac:dyDescent="0.15">
      <c r="A56" s="1" t="s">
        <v>181</v>
      </c>
      <c r="B56" s="11">
        <v>28.82</v>
      </c>
      <c r="C56" s="12"/>
    </row>
    <row r="57" spans="1:3" x14ac:dyDescent="0.15">
      <c r="A57" s="1" t="s">
        <v>182</v>
      </c>
      <c r="B57" s="11">
        <v>28.9</v>
      </c>
      <c r="C57" s="12"/>
    </row>
    <row r="58" spans="1:3" x14ac:dyDescent="0.15">
      <c r="A58" s="1" t="s">
        <v>184</v>
      </c>
      <c r="B58" s="11">
        <v>29.06</v>
      </c>
      <c r="C58" s="12"/>
    </row>
    <row r="59" spans="1:3" x14ac:dyDescent="0.15">
      <c r="A59" s="1" t="s">
        <v>187</v>
      </c>
      <c r="B59" s="11">
        <v>29.29</v>
      </c>
      <c r="C59" s="12"/>
    </row>
    <row r="60" spans="1:3" x14ac:dyDescent="0.15">
      <c r="A60" s="1" t="s">
        <v>187</v>
      </c>
      <c r="B60" s="11">
        <v>29.29</v>
      </c>
      <c r="C60" s="12">
        <v>0.4</v>
      </c>
    </row>
    <row r="61" spans="1:3" x14ac:dyDescent="0.15">
      <c r="A61" s="1" t="s">
        <v>193</v>
      </c>
      <c r="B61" s="11">
        <v>29.76</v>
      </c>
      <c r="C61" s="12"/>
    </row>
    <row r="62" spans="1:3" x14ac:dyDescent="0.15">
      <c r="A62" s="1" t="s">
        <v>194</v>
      </c>
      <c r="B62" s="11">
        <v>29.83</v>
      </c>
      <c r="C62" s="12">
        <v>0.9</v>
      </c>
    </row>
    <row r="63" spans="1:3" x14ac:dyDescent="0.15">
      <c r="A63" s="1" t="s">
        <v>196</v>
      </c>
      <c r="B63" s="11">
        <v>29.98</v>
      </c>
      <c r="C63" s="12">
        <v>0.8</v>
      </c>
    </row>
    <row r="64" spans="1:3" x14ac:dyDescent="0.15">
      <c r="A64" s="1" t="s">
        <v>200</v>
      </c>
      <c r="B64" s="11">
        <v>30.38</v>
      </c>
      <c r="C64" s="12">
        <v>1</v>
      </c>
    </row>
    <row r="65" spans="1:3" x14ac:dyDescent="0.15">
      <c r="A65" s="1" t="s">
        <v>212</v>
      </c>
      <c r="B65" s="11">
        <v>31.56</v>
      </c>
      <c r="C65" s="12">
        <v>0.5</v>
      </c>
    </row>
    <row r="66" spans="1:3" x14ac:dyDescent="0.15">
      <c r="A66" s="1" t="s">
        <v>261</v>
      </c>
      <c r="B66" s="11">
        <v>36.729999999999997</v>
      </c>
      <c r="C66" s="12"/>
    </row>
    <row r="67" spans="1:3" x14ac:dyDescent="0.15">
      <c r="A67" s="1" t="s">
        <v>262</v>
      </c>
      <c r="B67" s="11">
        <v>36.81</v>
      </c>
      <c r="C67" s="12"/>
    </row>
    <row r="68" spans="1:3" x14ac:dyDescent="0.15">
      <c r="A68" s="1" t="s">
        <v>277</v>
      </c>
      <c r="B68" s="11">
        <v>38.020000000000003</v>
      </c>
      <c r="C68" s="12">
        <v>0.9</v>
      </c>
    </row>
    <row r="69" spans="1:3" x14ac:dyDescent="0.15">
      <c r="A69" s="1" t="s">
        <v>322</v>
      </c>
      <c r="B69" s="11">
        <v>40.92</v>
      </c>
      <c r="C69" s="12">
        <v>0.9</v>
      </c>
    </row>
    <row r="70" spans="1:3" x14ac:dyDescent="0.15">
      <c r="A70" s="1" t="s">
        <v>501</v>
      </c>
      <c r="B70" s="11">
        <v>41.16</v>
      </c>
      <c r="C70" s="12"/>
    </row>
    <row r="71" spans="1:3" x14ac:dyDescent="0.15">
      <c r="B71" s="11"/>
      <c r="C71" s="12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36FC-09ED-4CDB-A471-AB0CDCE4903A}">
  <dimension ref="A1:N4"/>
  <sheetViews>
    <sheetView workbookViewId="0"/>
  </sheetViews>
  <sheetFormatPr baseColWidth="10" defaultColWidth="10.83203125" defaultRowHeight="14" x14ac:dyDescent="0.15"/>
  <cols>
    <col min="1" max="1" width="14.6640625" style="14" customWidth="1"/>
    <col min="2" max="2" width="2.1640625" style="14" bestFit="1" customWidth="1"/>
    <col min="3" max="5" width="10.83203125" style="14"/>
    <col min="6" max="6" width="6.83203125" style="14" bestFit="1" customWidth="1"/>
    <col min="7" max="7" width="14.6640625" style="15" bestFit="1" customWidth="1"/>
    <col min="8" max="8" width="9" style="14" bestFit="1" customWidth="1"/>
    <col min="9" max="9" width="14.33203125" style="14" bestFit="1" customWidth="1"/>
    <col min="10" max="10" width="16.83203125" style="14" bestFit="1" customWidth="1"/>
    <col min="11" max="11" width="10.83203125" style="14"/>
    <col min="12" max="12" width="16.83203125" style="14" bestFit="1" customWidth="1"/>
    <col min="13" max="13" width="8.1640625" style="14" bestFit="1" customWidth="1"/>
    <col min="14" max="14" width="15.6640625" style="14" bestFit="1" customWidth="1"/>
    <col min="15" max="16384" width="10.83203125" style="14"/>
  </cols>
  <sheetData>
    <row r="1" spans="1:14" s="16" customFormat="1" x14ac:dyDescent="0.15">
      <c r="A1" s="14" t="s">
        <v>514</v>
      </c>
      <c r="B1" s="14" t="s">
        <v>513</v>
      </c>
      <c r="C1" s="14" t="s">
        <v>512</v>
      </c>
      <c r="D1" s="14" t="s">
        <v>511</v>
      </c>
      <c r="E1" s="14" t="s">
        <v>510</v>
      </c>
      <c r="F1" s="14" t="s">
        <v>509</v>
      </c>
      <c r="G1" s="15" t="s">
        <v>508</v>
      </c>
      <c r="H1" s="14" t="s">
        <v>515</v>
      </c>
      <c r="I1" s="10" t="s">
        <v>507</v>
      </c>
      <c r="J1" s="14" t="s">
        <v>506</v>
      </c>
      <c r="K1" s="14" t="s">
        <v>505</v>
      </c>
      <c r="L1" s="14" t="s">
        <v>504</v>
      </c>
      <c r="M1" s="14" t="s">
        <v>503</v>
      </c>
      <c r="N1" s="14" t="s">
        <v>516</v>
      </c>
    </row>
    <row r="2" spans="1:14" s="14" customFormat="1" x14ac:dyDescent="0.15">
      <c r="A2" s="14" t="s">
        <v>517</v>
      </c>
      <c r="B2" s="14">
        <v>3</v>
      </c>
      <c r="C2" s="14">
        <f>'[1]All replicate data'!AO22</f>
        <v>0.60399999999999998</v>
      </c>
      <c r="D2" s="14">
        <f>'[1]All replicate data'!AP22</f>
        <v>1.7000000000000001E-2</v>
      </c>
      <c r="E2" s="14">
        <f>'[1]All replicate data'!AQ22</f>
        <v>0.01</v>
      </c>
      <c r="F2" s="17">
        <f>'[1]All replicate data'!AR22</f>
        <v>2.7819003926298672E-2</v>
      </c>
      <c r="G2" s="18">
        <f>SQRT((0.0391*10^6)/(C2-0.154)) - 273.15</f>
        <v>21.619212925788588</v>
      </c>
      <c r="H2" s="19">
        <f>G2-SQRT((0.0391*10^6)/((C2+E2)-0.154)) + 273.15</f>
        <v>3.2216181835235602</v>
      </c>
      <c r="I2" s="19">
        <f>G2-SQRT((0.0391*10^6)/((C2+F2)-0.154)) + 273.15</f>
        <v>8.7095191540583983</v>
      </c>
      <c r="J2" s="14">
        <f>'[1]All replicate data'!U18</f>
        <v>-4.5</v>
      </c>
      <c r="K2" s="14">
        <f>'[1]All replicate data'!W22</f>
        <v>0.11</v>
      </c>
      <c r="L2" s="14">
        <f>'[1]All replicate data'!M18</f>
        <v>-5.59</v>
      </c>
      <c r="M2" s="14">
        <f>'[1]All replicate data'!O22</f>
        <v>7.0000000000000007E-2</v>
      </c>
      <c r="N2" s="20" t="s">
        <v>520</v>
      </c>
    </row>
    <row r="3" spans="1:14" s="14" customFormat="1" x14ac:dyDescent="0.15">
      <c r="A3" s="14" t="s">
        <v>518</v>
      </c>
      <c r="B3" s="14">
        <v>3</v>
      </c>
      <c r="C3" s="14">
        <f>'[1]All replicate data'!AO6</f>
        <v>0.57299999999999995</v>
      </c>
      <c r="D3" s="14">
        <f>'[1]All replicate data'!AP6</f>
        <v>7.0000000000000001E-3</v>
      </c>
      <c r="E3" s="14">
        <f>'[1]All replicate data'!AQ6</f>
        <v>4.0000000000000001E-3</v>
      </c>
      <c r="F3" s="17">
        <f>'[1]All replicate data'!AR6</f>
        <v>1.1236906234088472E-2</v>
      </c>
      <c r="G3" s="18">
        <f>SQRT((0.0391*10^6)/(C3-0.154)) - 273.15</f>
        <v>32.32900489946536</v>
      </c>
      <c r="H3" s="19">
        <f>G3-SQRT((0.0391*10^6)/((C3+E3)-0.154)) + 273.15</f>
        <v>1.447775944824798</v>
      </c>
      <c r="I3" s="19">
        <f>G3-SQRT((0.0391*10^6)/((C3+F3)-0.154)) + 273.15</f>
        <v>4.0156362931827516</v>
      </c>
      <c r="J3" s="14">
        <f>'[1]All replicate data'!U6</f>
        <v>-2.82</v>
      </c>
      <c r="K3" s="14">
        <f>'[1]All replicate data'!W2</f>
        <v>0.02</v>
      </c>
      <c r="L3" s="14">
        <f>'[1]All replicate data'!M2</f>
        <v>0.26</v>
      </c>
      <c r="M3" s="14">
        <f>'[1]All replicate data'!O2</f>
        <v>0.01</v>
      </c>
      <c r="N3" s="20" t="s">
        <v>519</v>
      </c>
    </row>
    <row r="4" spans="1:14" s="14" customFormat="1" x14ac:dyDescent="0.15">
      <c r="A4" s="14" t="s">
        <v>518</v>
      </c>
      <c r="B4" s="14">
        <v>3</v>
      </c>
      <c r="C4" s="14">
        <f>'[1]All replicate data'!AO14</f>
        <v>0.57199999999999995</v>
      </c>
      <c r="D4" s="14">
        <f>'[1]All replicate data'!AP14</f>
        <v>6.0000000000000001E-3</v>
      </c>
      <c r="E4" s="14">
        <f>'[1]All replicate data'!AQ14</f>
        <v>4.0000000000000001E-3</v>
      </c>
      <c r="F4" s="17">
        <f>'[1]All replicate data'!AR14</f>
        <v>1.0505771721386512E-2</v>
      </c>
      <c r="G4" s="18">
        <f>SQRT((0.0391*10^6)/(C4-0.154)) - 273.15</f>
        <v>32.694192124780045</v>
      </c>
      <c r="H4" s="19">
        <f>G4-SQRT((0.0391*10^6)/((C4+E4)-0.154)) + 273.15</f>
        <v>1.4529497474426307</v>
      </c>
      <c r="I4" s="19">
        <f>G4-SQRT((0.0391*10^6)/((C4+F4)-0.154)) + 273.15</f>
        <v>3.7724914323063672</v>
      </c>
      <c r="J4" s="14">
        <f>'[1]All replicate data'!U14</f>
        <v>-2.4500000000000002</v>
      </c>
      <c r="K4" s="14">
        <f>'[1]All replicate data'!W14</f>
        <v>0.02</v>
      </c>
      <c r="L4" s="14">
        <f>'[1]All replicate data'!M10</f>
        <v>1.26</v>
      </c>
      <c r="M4" s="14">
        <f>'[1]All replicate data'!O10</f>
        <v>0.01</v>
      </c>
      <c r="N4" s="20" t="s">
        <v>519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XRF &amp; Bulk carbonate isotopes</vt:lpstr>
      <vt:lpstr>Bulk organic &amp; Hg</vt:lpstr>
      <vt:lpstr>alkane d13C</vt:lpstr>
      <vt:lpstr>Apolar biomarker</vt:lpstr>
      <vt:lpstr>GDGT data</vt:lpstr>
      <vt:lpstr>Clumped isotope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CRJ</dc:creator>
  <cp:lastModifiedBy>Microsoft Office User</cp:lastModifiedBy>
  <dcterms:created xsi:type="dcterms:W3CDTF">2021-05-31T04:20:00Z</dcterms:created>
  <dcterms:modified xsi:type="dcterms:W3CDTF">2025-04-30T10:34:15Z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